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00000000-0000-0000-0000-000000000000}"/>
  <workbookPr codeName="ThisWorkbook"/>
  <mc:AlternateContent xmlns:mc="http://schemas.openxmlformats.org/markup-compatibility/2006">
    <mc:Choice Requires="x15">
      <x15ac:absPath xmlns:x15ac="http://schemas.microsoft.com/office/spreadsheetml/2010/11/ac" url="/Users/user/OneDrive/NexSeedプログラミング/Japanese Inn List App/Japanese Inn List/"/>
    </mc:Choice>
  </mc:AlternateContent>
  <bookViews>
    <workbookView xWindow="2540" yWindow="4820" windowWidth="25600" windowHeight="7760" tabRatio="500"/>
  </bookViews>
  <sheets>
    <sheet name="一覧リスト" sheetId="5" r:id="rId1"/>
    <sheet name="マニュアル" sheetId="6" r:id="rId2"/>
  </sheets>
  <definedNames>
    <definedName name="_xlnm.Print_Titles" localSheetId="0">一覧リスト!$1:$2</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4" i="5" l="1"/>
  <c r="A25" i="5"/>
  <c r="A41" i="5"/>
  <c r="A42" i="5"/>
  <c r="A43" i="5"/>
  <c r="A44" i="5"/>
  <c r="A45" i="5"/>
  <c r="A46" i="5"/>
  <c r="A47" i="5"/>
  <c r="A48" i="5"/>
  <c r="A49" i="5"/>
  <c r="A50" i="5"/>
  <c r="A51" i="5"/>
  <c r="A52" i="5"/>
  <c r="A53" i="5"/>
  <c r="A54" i="5"/>
  <c r="R51" i="5"/>
  <c r="A27" i="5"/>
  <c r="A28" i="5"/>
  <c r="A29" i="5"/>
  <c r="A30" i="5"/>
  <c r="A31" i="5"/>
  <c r="A32" i="5"/>
  <c r="A33" i="5"/>
  <c r="A34" i="5"/>
  <c r="A35" i="5"/>
  <c r="A36" i="5"/>
  <c r="A37" i="5"/>
  <c r="A38" i="5"/>
  <c r="A39" i="5"/>
  <c r="A56" i="5"/>
  <c r="A57" i="5"/>
  <c r="A58" i="5"/>
  <c r="A60" i="5"/>
  <c r="A61" i="5"/>
  <c r="A62" i="5"/>
  <c r="A63" i="5"/>
  <c r="A64" i="5"/>
  <c r="A65" i="5"/>
  <c r="A66" i="5"/>
  <c r="A67" i="5"/>
  <c r="A68" i="5"/>
  <c r="A69" i="5"/>
  <c r="A88" i="5"/>
  <c r="A89" i="5"/>
  <c r="A90" i="5"/>
  <c r="A91" i="5"/>
  <c r="A8" i="5"/>
  <c r="A9" i="5"/>
  <c r="A10" i="5"/>
  <c r="A11" i="5"/>
  <c r="A12" i="5"/>
  <c r="A13" i="5"/>
  <c r="A14" i="5"/>
  <c r="A16" i="5"/>
  <c r="A18" i="5"/>
  <c r="A19" i="5"/>
  <c r="A20" i="5"/>
  <c r="A70" i="5"/>
  <c r="A71" i="5"/>
  <c r="A72" i="5"/>
  <c r="A73" i="5"/>
  <c r="A74" i="5"/>
  <c r="A75" i="5"/>
  <c r="A76" i="5"/>
  <c r="A77" i="5"/>
  <c r="A78" i="5"/>
  <c r="A79" i="5"/>
  <c r="A80" i="5"/>
  <c r="A81" i="5"/>
  <c r="A82" i="5"/>
  <c r="A84" i="5"/>
  <c r="A86"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alcChain>
</file>

<file path=xl/sharedStrings.xml><?xml version="1.0" encoding="utf-8"?>
<sst xmlns="http://schemas.openxmlformats.org/spreadsheetml/2006/main" count="840" uniqueCount="512">
  <si>
    <t>001</t>
    <phoneticPr fontId="1"/>
  </si>
  <si>
    <t>アメリカ</t>
    <phoneticPr fontId="1"/>
  </si>
  <si>
    <t>booking@losnioideyo.com or tom8hiro@yahoo.co.jp</t>
    <phoneticPr fontId="1"/>
  </si>
  <si>
    <t>あり</t>
    <phoneticPr fontId="1"/>
  </si>
  <si>
    <t>LAオレンジグローブ</t>
    <phoneticPr fontId="1"/>
  </si>
  <si>
    <t>100 Fort Greene Pl, Brooklyn, NY 11217-1419</t>
    <phoneticPr fontId="1"/>
  </si>
  <si>
    <t>車両の手配を依頼可能</t>
    <rPh sb="0" eb="2">
      <t>シャリョ</t>
    </rPh>
    <rPh sb="3" eb="5">
      <t>テハ</t>
    </rPh>
    <rPh sb="6" eb="10">
      <t>イラ</t>
    </rPh>
    <phoneticPr fontId="1"/>
  </si>
  <si>
    <t>PHONE: 06-6850-1319</t>
    <phoneticPr fontId="1"/>
  </si>
  <si>
    <t>日本コールセンター: 06-6850-1319
ザ・ワンハンドレト：718-624-8313</t>
    <rPh sb="0" eb="2">
      <t>ニホn</t>
    </rPh>
    <phoneticPr fontId="1"/>
  </si>
  <si>
    <t xml:space="preserve">info@theonehundred.com </t>
    <phoneticPr fontId="1"/>
  </si>
  <si>
    <t>ハワイノースショアの宿</t>
    <phoneticPr fontId="1"/>
  </si>
  <si>
    <t>ホテル</t>
    <phoneticPr fontId="1"/>
  </si>
  <si>
    <t>https://ameblo.jp/sand-hawaii/</t>
  </si>
  <si>
    <t>https://ameblo.jp/sand-hawaii/</t>
    <phoneticPr fontId="1"/>
  </si>
  <si>
    <t>http://www.theonehundred.com/index.htm</t>
    <phoneticPr fontId="1"/>
  </si>
  <si>
    <t>http://www.losnioideyo.com</t>
    <phoneticPr fontId="1"/>
  </si>
  <si>
    <t xml:space="preserve">スタンダード・タイプ
お一人様ご利用◆140ドル 
お二人様ご利用◆180ドル
スイート・タイプ 
お一人様ご利用◆210ドル 
お二人様ご利用◆250ドル
</t>
    <phoneticPr fontId="1"/>
  </si>
  <si>
    <t>alohaemiko@gmail.com</t>
    <phoneticPr fontId="1"/>
  </si>
  <si>
    <t>だいたい</t>
    <phoneticPr fontId="1"/>
  </si>
  <si>
    <t>有料＆無料あり</t>
    <phoneticPr fontId="1"/>
  </si>
  <si>
    <t>フレンドリーな日本人オーナーと、スタッフが、心のこもったサービスを提供させていただきます。ペットとご一緒にご宿泊できるお部屋もございます。どうぞお問い合わせくださいませ。</t>
    <phoneticPr fontId="1"/>
  </si>
  <si>
    <t>有料あり</t>
    <rPh sb="0" eb="2">
      <t>ユウリョ</t>
    </rPh>
    <phoneticPr fontId="1"/>
  </si>
  <si>
    <t>鍵付き個室　"限定１部屋のみ"
1名様目　$98/日
2名様目　$39/日
3名様目　$19/日
※３連泊以上の料金</t>
    <rPh sb="18" eb="20">
      <t>m</t>
    </rPh>
    <rPh sb="20" eb="21">
      <t>メ</t>
    </rPh>
    <rPh sb="52" eb="56">
      <t>レn</t>
    </rPh>
    <rPh sb="57" eb="59">
      <t>リョ</t>
    </rPh>
    <phoneticPr fontId="1"/>
  </si>
  <si>
    <t>日本語：416-597-9897
英語：416-910-0799</t>
    <rPh sb="18" eb="20">
      <t>エイg</t>
    </rPh>
    <phoneticPr fontId="1"/>
  </si>
  <si>
    <t>info_sweetheart@hotmail.com</t>
    <phoneticPr fontId="1"/>
  </si>
  <si>
    <t>72 Henry St., Toronto, Ontario, Canada M5T 1X2</t>
    <phoneticPr fontId="1"/>
  </si>
  <si>
    <t>Sweetheart B &amp; B 1号館</t>
    <phoneticPr fontId="1"/>
  </si>
  <si>
    <t>カナダ</t>
    <phoneticPr fontId="1"/>
  </si>
  <si>
    <t>ホームステイ</t>
    <phoneticPr fontId="1"/>
  </si>
  <si>
    <t>バンクーバーで泊まる格安の宿・ホームステイ</t>
    <phoneticPr fontId="1"/>
  </si>
  <si>
    <t>有料</t>
    <rPh sb="0" eb="2">
      <t>ユウリョ</t>
    </rPh>
    <phoneticPr fontId="1"/>
  </si>
  <si>
    <t>無料</t>
    <rPh sb="0" eb="2">
      <t>ムリョ</t>
    </rPh>
    <phoneticPr fontId="1"/>
  </si>
  <si>
    <t>シングルルーム 55ドル
スモールシングルルーム 40ドル
ベースメントシングルルーム 45ドル
ダブルベッドルーム 60ドル（1名様）/　70ドル（2名様）
ツインルーム 60ドル（1名様）/　75ドル（2名様）
ベースメントスイート 75ドル（1名様）　/　95ドル（2名様）120ドル（3名様）
ドミトリールーム 35ドル（1名様）</t>
    <phoneticPr fontId="1"/>
  </si>
  <si>
    <t>6991 Frederick Avenue Burnaby B.C. Canada</t>
    <phoneticPr fontId="1"/>
  </si>
  <si>
    <t>yadachi@telus.net</t>
    <phoneticPr fontId="1"/>
  </si>
  <si>
    <t xml:space="preserve">1-604-433-7876
</t>
    <phoneticPr fontId="1"/>
  </si>
  <si>
    <t>ステゥージオ（定員２名）
1泊／1部屋：１３０ドル
ワンベッドルーム（定員３名）
1泊／1部屋：15５ドル
※定員オーバーは追加料金。</t>
    <rPh sb="7" eb="9">
      <t>テイイn</t>
    </rPh>
    <rPh sb="10" eb="11">
      <t>メ</t>
    </rPh>
    <phoneticPr fontId="1"/>
  </si>
  <si>
    <t>お一人様／一泊：C$75
Lowシーズン (11月～4月)
お一人様／一泊：C$85
Highシーズン (5月～10月)</t>
    <rPh sb="5" eb="6">
      <t>⑴</t>
    </rPh>
    <phoneticPr fontId="1"/>
  </si>
  <si>
    <t>http://www.bbaogaki.com/</t>
    <phoneticPr fontId="1"/>
  </si>
  <si>
    <t>B&amp;B AOGAKI</t>
    <phoneticPr fontId="1"/>
  </si>
  <si>
    <t>235 Government St., Victoria, B.C., Canada, V8V 2K8</t>
    <phoneticPr fontId="1"/>
  </si>
  <si>
    <t>http://marifieldhouse.com/japanese.html</t>
  </si>
  <si>
    <t>カナダセレクト四つ星認定。ビクトリアダウンタウンへ徒歩5分。朝食はボリュームの手作り日替わりメニュー！</t>
    <phoneticPr fontId="1"/>
  </si>
  <si>
    <t>メリーフィールドハウスB&amp;B</t>
    <phoneticPr fontId="1"/>
  </si>
  <si>
    <t xml:space="preserve">toshiedavid@marifieldhouse.com </t>
    <phoneticPr fontId="1"/>
  </si>
  <si>
    <t>フリーダイヤル：1-866-235-3820
日本語専用：250-383-3820</t>
    <rPh sb="24" eb="27">
      <t>ニホン</t>
    </rPh>
    <rPh sb="27" eb="29">
      <t>センヨ</t>
    </rPh>
    <phoneticPr fontId="1"/>
  </si>
  <si>
    <t>Room1
C $105.00
（10月〜5月）
C $155.00
Room2
C $105.00〜
（10月〜5月）
C $155.00〜
※Room2は、人数によって変更あり</t>
    <rPh sb="81" eb="83">
      <t>ニn</t>
    </rPh>
    <rPh sb="87" eb="89">
      <t>ヘンコ</t>
    </rPh>
    <phoneticPr fontId="1"/>
  </si>
  <si>
    <t>http://manorguesthouse.com/?lang=ja</t>
    <phoneticPr fontId="1"/>
  </si>
  <si>
    <t xml:space="preserve"> stay@manorguesthouse.com</t>
    <phoneticPr fontId="1"/>
  </si>
  <si>
    <t>不明</t>
    <rPh sb="0" eb="2">
      <t>フメ</t>
    </rPh>
    <phoneticPr fontId="1"/>
  </si>
  <si>
    <t>1909 West 4th Ave
Vancouver, BC V6J 1M7</t>
    <phoneticPr fontId="1"/>
  </si>
  <si>
    <t>Manor Guest House</t>
    <phoneticPr fontId="1"/>
  </si>
  <si>
    <t>スイートルーム（最大２名）
1泊　$ 85.00</t>
    <rPh sb="8" eb="10">
      <t>サイダ</t>
    </rPh>
    <rPh sb="11" eb="12">
      <t>メ</t>
    </rPh>
    <rPh sb="15" eb="16">
      <t>パk</t>
    </rPh>
    <phoneticPr fontId="1"/>
  </si>
  <si>
    <t>ハウス</t>
    <phoneticPr fontId="1"/>
  </si>
  <si>
    <t>ホリディホームステイ　B&amp;B</t>
    <phoneticPr fontId="1"/>
  </si>
  <si>
    <t>enjoy@holiday-homestay.com</t>
    <phoneticPr fontId="1"/>
  </si>
  <si>
    <t xml:space="preserve">4018 Santa Anita Place, Kelowna, BC 
V1W 2Z6 Canada </t>
    <phoneticPr fontId="1"/>
  </si>
  <si>
    <t>カナダ・ブリティッシュコロンビア州の中央オカナガン湖畔にあるリゾートタウン</t>
    <phoneticPr fontId="1"/>
  </si>
  <si>
    <t xml:space="preserve">2名で申込／お一人様あたり一泊75カナダドル
1名で申込／一泊120カナダドル </t>
    <phoneticPr fontId="1"/>
  </si>
  <si>
    <t>http://www3.telus.net/holidayhomestaybb/index.html</t>
    <phoneticPr fontId="1"/>
  </si>
  <si>
    <t>http://sunlodge.com/?page_id=41</t>
    <phoneticPr fontId="1"/>
  </si>
  <si>
    <t>定員２名まで。
12月1日〜12月21日 
$ 169.00
12月22日〜1月3日（最低4泊） 
$ 210.00
1月4日〜1月31日 
$ 179.00
2月1日〜2月28日 
$ 189.00
3月1日〜4月30日 
$ 175.00
5月1日〜11月31日 
$ 165.00</t>
    <rPh sb="0" eb="2">
      <t>テイイn</t>
    </rPh>
    <rPh sb="3" eb="4">
      <t>m</t>
    </rPh>
    <phoneticPr fontId="1"/>
  </si>
  <si>
    <t xml:space="preserve">horiesunlodge@telus.net </t>
    <phoneticPr fontId="1"/>
  </si>
  <si>
    <t>http://www.banff-minshuku.com/indexj.htm</t>
    <phoneticPr fontId="1"/>
  </si>
  <si>
    <t>バンフ国立公園内唯一の日本人夫婦がオーナーの貸し切りのベッドアンドブレックファースト「バンフィー」。</t>
    <phoneticPr fontId="1"/>
  </si>
  <si>
    <t>バンフィー</t>
    <phoneticPr fontId="1"/>
  </si>
  <si>
    <t xml:space="preserve"> 
213 Glen Crescent, Banff, Alberta, Canada T1L-1C1　</t>
    <phoneticPr fontId="1"/>
  </si>
  <si>
    <t>banffy@banff-minshuku.com</t>
    <phoneticPr fontId="1"/>
  </si>
  <si>
    <t>1-403-762-4725</t>
    <phoneticPr fontId="1"/>
  </si>
  <si>
    <t>お二人様一泊の料金
夏料金（4月15日～10月）:CDN$99 - $129
ハイシーズン（7月～9月）:CDN$139から（フル朝食付き）
冬料金（11月～4月14日）:割引あり</t>
    <phoneticPr fontId="1"/>
  </si>
  <si>
    <t>モナークB&amp;B</t>
    <phoneticPr fontId="1"/>
  </si>
  <si>
    <t>コテージ</t>
    <phoneticPr fontId="1"/>
  </si>
  <si>
    <t>http://www.monarchbandb.com/jp/index.html</t>
    <phoneticPr fontId="1"/>
  </si>
  <si>
    <t>個人旅行を個性的な旅にしたい方や、ご家族・グループ様へ、快適で安心感のある宿泊施設をご提供させて頂いております。皆さまのキャンモア、バンフ、レイクルイーズでの滞在をより良いものにするため、モナークにご協力をさせてください。</t>
    <phoneticPr fontId="1"/>
  </si>
  <si>
    <t>クインーンルーム or ツインルーム
$165.00　（シングル割引：$105.00）
iフロア貸切（4名以上）
$320.00（家族割引　大人4名／子供2名：$320.00〜）</t>
    <rPh sb="49" eb="51">
      <t>カシキr</t>
    </rPh>
    <rPh sb="53" eb="56">
      <t>メ</t>
    </rPh>
    <rPh sb="66" eb="68">
      <t>カゾk</t>
    </rPh>
    <rPh sb="68" eb="70">
      <t>ワリビk</t>
    </rPh>
    <rPh sb="71" eb="73">
      <t>オトn</t>
    </rPh>
    <rPh sb="74" eb="75">
      <t>メ</t>
    </rPh>
    <rPh sb="76" eb="78">
      <t>コドm</t>
    </rPh>
    <rPh sb="79" eb="80">
      <t>メ</t>
    </rPh>
    <phoneticPr fontId="1"/>
  </si>
  <si>
    <t>317 Canyon Close
Canmore, Alberta Canada
T1W1H4</t>
    <phoneticPr fontId="1"/>
  </si>
  <si>
    <t xml:space="preserve">1-250-578-0250 </t>
    <phoneticPr fontId="1"/>
  </si>
  <si>
    <t>1- 604-876-8494</t>
    <phoneticPr fontId="1"/>
  </si>
  <si>
    <t xml:space="preserve">1-250-764-5082 </t>
    <phoneticPr fontId="1"/>
  </si>
  <si>
    <t>1-403-678-0500</t>
    <phoneticPr fontId="1"/>
  </si>
  <si>
    <t>ogawa66@shaw.ca</t>
    <phoneticPr fontId="1"/>
  </si>
  <si>
    <t>ジャマイカ</t>
    <phoneticPr fontId="1"/>
  </si>
  <si>
    <t>中南米</t>
    <rPh sb="0" eb="3">
      <t>チュ</t>
    </rPh>
    <phoneticPr fontId="1"/>
  </si>
  <si>
    <t>北アメリカ</t>
    <rPh sb="0" eb="1">
      <t>キタ</t>
    </rPh>
    <phoneticPr fontId="1"/>
  </si>
  <si>
    <t>民宿ラブリシュ</t>
    <phoneticPr fontId="1"/>
  </si>
  <si>
    <t xml:space="preserve">民宿ラブリシュはキングストンの繁華街ハーフウェイトゥリーにあり
換金所やスーパーマーケット、
ファーストフード店やレストランなど全て徒歩５分以内にあり大変便利で
来たその日からジャマイカに住んでいる感覚でステイしていただけます
</t>
    <phoneticPr fontId="1"/>
  </si>
  <si>
    <t>http://www.sisterchin.com/rastalabrish3.html</t>
    <phoneticPr fontId="1"/>
  </si>
  <si>
    <t xml:space="preserve">10 Hillview Ave,Kingston 10,Jamaica W.I
</t>
    <phoneticPr fontId="1"/>
  </si>
  <si>
    <t>876-382-5150</t>
    <phoneticPr fontId="1"/>
  </si>
  <si>
    <t>sisterchin2001@hotmail.com、sisterchin@gmail.com</t>
    <phoneticPr fontId="1"/>
  </si>
  <si>
    <t>個室１泊
１人部屋 US$30
２人利用の場合 US$40
３人利用の場合 US$50
デラックス個室１泊
１人部屋 US$40 
２人利用の場合 US$50
３人利用の場合 US$60
ドミトリー１泊（男6人、女4人部屋）
１人部屋 US$40 
２人利用の場合 US$50
３人利用の場合 US$60</t>
    <rPh sb="0" eb="2">
      <t>コs</t>
    </rPh>
    <rPh sb="50" eb="52">
      <t>コs</t>
    </rPh>
    <rPh sb="106" eb="107">
      <t>ニn</t>
    </rPh>
    <rPh sb="108" eb="109">
      <t>オンn</t>
    </rPh>
    <rPh sb="110" eb="111">
      <t>ニn</t>
    </rPh>
    <rPh sb="111" eb="113">
      <t>ベy</t>
    </rPh>
    <phoneticPr fontId="1"/>
  </si>
  <si>
    <t>ゲストハウス</t>
    <phoneticPr fontId="1"/>
  </si>
  <si>
    <t>バスルーム・キッチン共同／1泊　US$30
バスルーム・キッチン付／1泊 　US$40</t>
    <phoneticPr fontId="1"/>
  </si>
  <si>
    <t>(876)844-8928　</t>
    <phoneticPr fontId="1"/>
  </si>
  <si>
    <t>aishahousejamaica@gmail.com
aishahouse@hotmail.com</t>
    <phoneticPr fontId="1"/>
  </si>
  <si>
    <t>http://aishahouse.com.jm/aishahouse.htm</t>
    <phoneticPr fontId="1"/>
  </si>
  <si>
    <t>8 Goodwood Terrace,Kingston10 Jamaica W.I.</t>
    <phoneticPr fontId="1"/>
  </si>
  <si>
    <t>グアテマラ</t>
    <phoneticPr fontId="1"/>
  </si>
  <si>
    <t>ホテル・エル・ソル</t>
    <phoneticPr fontId="1"/>
  </si>
  <si>
    <t>グアテマラのアティトラン湖をご旅行される御家族やバックパッカーの方々へ 快適で安全なご宿泊 を提供いたしております。</t>
    <phoneticPr fontId="1"/>
  </si>
  <si>
    <t xml:space="preserve"> 男女共用ドミトリー  Q  70.00,  約 $9.21
 シングルルーム  Q 170.00, 約$22.36
 ツイン・ダブルルーム  Q 220.00, 約$28.94
 トリプルルーム  Q 270.00, 約 $35.52</t>
    <phoneticPr fontId="1"/>
  </si>
  <si>
    <t>502-7762-6090</t>
    <phoneticPr fontId="1"/>
  </si>
  <si>
    <t>Salida a Santa Catarina,
Barrio Jucanya, Panajachel
Solola, Guatemala, C.A.</t>
    <phoneticPr fontId="1"/>
  </si>
  <si>
    <t>hotel_el_sol_panajachel@yahoo.co.jp</t>
    <phoneticPr fontId="1"/>
  </si>
  <si>
    <t>http://www.hotelelsolpanajachel.com/</t>
    <phoneticPr fontId="1"/>
  </si>
  <si>
    <t>中米グアテマラ、シェラ (ケツァルテナンゴ) のホステルとスペイン語学校 TAKA HOUSE</t>
    <phoneticPr fontId="1"/>
  </si>
  <si>
    <t>ドミトリー　　１泊 　Q40 （＄5）</t>
    <phoneticPr fontId="1"/>
  </si>
  <si>
    <t>15 Avenida, 1-22, zona 1, Quezaltenago, Guatemala</t>
    <phoneticPr fontId="1"/>
  </si>
  <si>
    <t xml:space="preserve"> (502)5073-3558</t>
    <phoneticPr fontId="1"/>
  </si>
  <si>
    <t>takayukinagoshi＠hotmail.com</t>
    <phoneticPr fontId="1"/>
  </si>
  <si>
    <t>http://www.geocities.jp/takasantiago/index.html#hidead</t>
    <phoneticPr fontId="1"/>
  </si>
  <si>
    <t>Taka House</t>
    <phoneticPr fontId="1"/>
  </si>
  <si>
    <t>ハポンテナンゴ</t>
    <phoneticPr fontId="1"/>
  </si>
  <si>
    <t>空港からわずか十分たらずの緑豊かな閑静な住宅街にある日本人宿です。</t>
    <phoneticPr fontId="1"/>
  </si>
  <si>
    <t xml:space="preserve"> 19 Avenida 16-36 Zona 10 
Ciudad de Guatemala </t>
    <phoneticPr fontId="1"/>
  </si>
  <si>
    <t>502- 2363-2330</t>
    <phoneticPr fontId="1"/>
  </si>
  <si>
    <t>http://www.cocktailtours.com/japontenango/index.html</t>
    <phoneticPr fontId="1"/>
  </si>
  <si>
    <t>japont@cocktailtours.com</t>
    <phoneticPr fontId="1"/>
  </si>
  <si>
    <t>https://www.google.com/maps/d/viewer?ll=14.593384999999984%2C-90.51275299999998&amp;spn=0.039787%2C0.055017&amp;hl=es&amp;msa=0&amp;z=14&amp;ie=UTF8&amp;mid=1Blir_FxmzME3fZJS0PP3Ai-8_z4</t>
    <phoneticPr fontId="1"/>
  </si>
  <si>
    <t xml:space="preserve">一人部屋 ……………………$25 
二人部屋 ……………………$35 
三人部屋 ……………………$45 </t>
    <phoneticPr fontId="1"/>
  </si>
  <si>
    <t>オモアにある船員学校のクラスを受ける学生も宿泊するので、金曜日、土曜日の宿泊以外は必ず宿泊予定の前の週に事前予約してください。</t>
    <phoneticPr fontId="1"/>
  </si>
  <si>
    <t>EL PARAISO DE OMOA</t>
    <phoneticPr fontId="1"/>
  </si>
  <si>
    <t>個室 一室当り L.140.00
ドミトリー 一人当り L. 70.00
ハンモック 一人当り L. 60.00</t>
    <phoneticPr fontId="1"/>
  </si>
  <si>
    <t>あり（有料）</t>
    <rPh sb="3" eb="5">
      <t>ユウリョ</t>
    </rPh>
    <phoneticPr fontId="1"/>
  </si>
  <si>
    <t>Bo La Playa Atras de Pulp. Daniela,
Omoa, Cortés Honduras C.A.</t>
    <phoneticPr fontId="1"/>
  </si>
  <si>
    <t xml:space="preserve"> elparaisodeomoa@gmail.com</t>
    <phoneticPr fontId="1"/>
  </si>
  <si>
    <t>http://www.paraiso.go2.jp/</t>
    <phoneticPr fontId="1"/>
  </si>
  <si>
    <t>Constitucion 763, Asuncion, Paraguay</t>
    <phoneticPr fontId="1"/>
  </si>
  <si>
    <t>https://www.tripadvisor.jp/Hotel_Review-g294080-d1412218-Reviews-Hotel_Uchiyamada-Asuncion.html#MAPVIEW</t>
    <phoneticPr fontId="1"/>
  </si>
  <si>
    <t>パラグアイ</t>
    <phoneticPr fontId="1"/>
  </si>
  <si>
    <t>２１－２２２－０３８
２１－２０３－０３７</t>
    <phoneticPr fontId="1"/>
  </si>
  <si>
    <t>hoteluchiyamada@gmail.com</t>
    <phoneticPr fontId="1"/>
  </si>
  <si>
    <t>スタンダード　900000-1300000Gs
スーペリア　1700000-2200000Gs
デラックス　2500000Gs</t>
    <phoneticPr fontId="1"/>
  </si>
  <si>
    <t>ホテル内山田</t>
    <rPh sb="3" eb="6">
      <t>ウチヤマ</t>
    </rPh>
    <phoneticPr fontId="1"/>
  </si>
  <si>
    <t>http://www.harekapone.cl/index.html</t>
  </si>
  <si>
    <t>http://www.hoteluchiyamada.com.py/index.html.html</t>
    <phoneticPr fontId="1"/>
  </si>
  <si>
    <t>パラグアイの首都アスンシオンにある、諸設備の整った近代的なホテルです。</t>
    <rPh sb="18" eb="21">
      <t>ショセt</t>
    </rPh>
    <rPh sb="22" eb="23">
      <t>トトノッt</t>
    </rPh>
    <rPh sb="25" eb="28">
      <t>キンダ</t>
    </rPh>
    <phoneticPr fontId="1"/>
  </si>
  <si>
    <t>チリ</t>
    <phoneticPr fontId="1"/>
  </si>
  <si>
    <t>1泊～2泊まで（お一人様）13,000チリペソ／泊
3泊～6泊まで（お一人様）10,000チリペソ／泊
　　　7泊以上（お一人様）9,500チリペソ／泊</t>
    <phoneticPr fontId="1"/>
  </si>
  <si>
    <t>kiyoaki@harekapone.cl</t>
    <phoneticPr fontId="1"/>
  </si>
  <si>
    <t>ハワイ・オアフ島・ノースショア　で　日本人女性　が経営する　コンドミニアムと　サーフィン＆ボディーボードの体験レッスンを紹介しています！</t>
    <phoneticPr fontId="1"/>
  </si>
  <si>
    <t>堀江サンロッジイン</t>
    <phoneticPr fontId="1"/>
  </si>
  <si>
    <t>カナダで最高の雪質を誇るスノーリゾートにあるＢ＆Ｂ</t>
    <phoneticPr fontId="1"/>
  </si>
  <si>
    <t>アイシャ★ハウス</t>
    <phoneticPr fontId="1"/>
  </si>
  <si>
    <t>キングストンの中心街、ハーフ・ウェイ・トゥリー繁華街まで１km。観光、ショッピング、スタジオまでのアクセスも便利。　たいていのところには歩いていけます。</t>
    <phoneticPr fontId="1"/>
  </si>
  <si>
    <t>鍵付き個室＋専用バス・トイレのパーソナルな空間を優先したホームステイ。
治安がちょっと心配なロサンゼルスでも駅から徒歩１分の安全な駅前滞在。</t>
    <phoneticPr fontId="1"/>
  </si>
  <si>
    <t>築100年以上になるエドワーディア</t>
    <phoneticPr fontId="1"/>
  </si>
  <si>
    <t>longitude</t>
  </si>
  <si>
    <t>だいたい
21.648352, -158.061442</t>
    <phoneticPr fontId="1"/>
  </si>
  <si>
    <t>40.686535, -73.976661</t>
    <phoneticPr fontId="1"/>
  </si>
  <si>
    <t>2232 Sunburst Drive
Sun Peaks, B.C.
V0E 5N0, Canada</t>
    <phoneticPr fontId="1"/>
  </si>
  <si>
    <t>50.884807, -119.891917</t>
    <phoneticPr fontId="1"/>
  </si>
  <si>
    <t>18.028577, -76.798554</t>
    <phoneticPr fontId="1"/>
  </si>
  <si>
    <t>-27.153286, -109.428169</t>
  </si>
  <si>
    <t>ホテル名（大きく表示）</t>
  </si>
  <si>
    <t>写真</t>
  </si>
  <si>
    <t>住所</t>
  </si>
  <si>
    <t>経度情報（大体をif文で処理）</t>
  </si>
  <si>
    <t>緯度</t>
  </si>
  <si>
    <t>経度</t>
  </si>
  <si>
    <t>宿泊費（追加料金や割引はHPからご確認をお願いします。）</t>
  </si>
  <si>
    <t>部屋数</t>
  </si>
  <si>
    <t>WiFi（あり、なし）</t>
  </si>
  <si>
    <t>送迎</t>
  </si>
  <si>
    <t>施設設備など</t>
  </si>
  <si>
    <t>予約方法</t>
  </si>
  <si>
    <t>予約方法の詳細ページ（URLリンク）</t>
  </si>
  <si>
    <t>TEL</t>
  </si>
  <si>
    <t>e-mail</t>
  </si>
  <si>
    <t>URL</t>
  </si>
  <si>
    <t>コメント</t>
  </si>
  <si>
    <t>kind</t>
  </si>
  <si>
    <t>country</t>
  </si>
  <si>
    <t>hotel</t>
  </si>
  <si>
    <t>photo</t>
  </si>
  <si>
    <t>map</t>
  </si>
  <si>
    <t>latitude</t>
  </si>
  <si>
    <t>accommodation</t>
  </si>
  <si>
    <t>wifi</t>
  </si>
  <si>
    <t>pickup</t>
  </si>
  <si>
    <t>equipmentなど</t>
  </si>
  <si>
    <t>reservation</t>
  </si>
  <si>
    <t>reservation_URL</t>
  </si>
  <si>
    <t>tel</t>
  </si>
  <si>
    <t>email</t>
  </si>
  <si>
    <t>url</t>
  </si>
  <si>
    <t>String</t>
  </si>
  <si>
    <t>Int</t>
  </si>
  <si>
    <t>メール</t>
  </si>
  <si>
    <t>HP</t>
  </si>
  <si>
    <t xml:space="preserve">
http://www.theonehundred.com/request.htm</t>
  </si>
  <si>
    <t>https://mailform.mface.jp/frms/emiko/ox7r8sa20t6v</t>
  </si>
  <si>
    <t xml:space="preserve">
http://www.sweetheartbb.com/toronto/contact/index.html</t>
  </si>
  <si>
    <t>http://www.bbaogaki.com/contact-us/</t>
  </si>
  <si>
    <t>http://manorguesthouse.com/?lang=ja</t>
  </si>
  <si>
    <t>http://sunlodge.com/?room=1-queen-bed</t>
  </si>
  <si>
    <t>http://www.banff-minshuku.com/indexj.htm#form</t>
  </si>
  <si>
    <t>http://www.monarchbandb.com/jp/contact/index.html</t>
  </si>
  <si>
    <t>yumi@colis.com</t>
  </si>
  <si>
    <t>www.japanese.hostelworld.com/ 
www.booking.com/</t>
  </si>
  <si>
    <t>http://www.paraiso.go2.jp/</t>
  </si>
  <si>
    <t>TEL、メール</t>
  </si>
  <si>
    <t xml:space="preserve">
http://www.harekapone.cl/sfm_form_2.html</t>
  </si>
  <si>
    <t>国</t>
    <rPh sb="0" eb="1">
      <t>クn</t>
    </rPh>
    <phoneticPr fontId="1"/>
  </si>
  <si>
    <t>大陸</t>
    <rPh sb="0" eb="2">
      <t>タイリk</t>
    </rPh>
    <phoneticPr fontId="1"/>
  </si>
  <si>
    <t>ID</t>
    <phoneticPr fontId="1"/>
  </si>
  <si>
    <t>ホテルの種類</t>
    <phoneticPr fontId="1"/>
  </si>
  <si>
    <t>room</t>
    <phoneticPr fontId="1"/>
  </si>
  <si>
    <t>continent</t>
    <phoneticPr fontId="1"/>
  </si>
  <si>
    <t>ヨーロッパ</t>
    <phoneticPr fontId="1"/>
  </si>
  <si>
    <t>フランス</t>
    <phoneticPr fontId="1"/>
  </si>
  <si>
    <t>メゾン・オランジュはシェアタイプのゲストハウス。
ご予約なしに当ゲストハウスに直接いらっしゃっても、スタッフは常駐しておりませんので、即座の対応は致しかねます。</t>
    <phoneticPr fontId="1"/>
  </si>
  <si>
    <t>parislife.information@gmail.com</t>
    <phoneticPr fontId="1"/>
  </si>
  <si>
    <t>+33 6 17 80 23 11</t>
    <phoneticPr fontId="1"/>
  </si>
  <si>
    <t>http://maison-orange.com/free/reservation</t>
    <phoneticPr fontId="1"/>
  </si>
  <si>
    <t>Maison Orange</t>
    <phoneticPr fontId="1"/>
  </si>
  <si>
    <t>バス、トイレ、キッチン、洗濯機、乾燥機など</t>
  </si>
  <si>
    <t>バス、トイレ、キッチン、ランドリー、無料電話など</t>
  </si>
  <si>
    <t>バス、トイレ、キッチン、洗濯サービス、プールなど</t>
  </si>
  <si>
    <t>シャワー、トイレ、キッチン、ランドリー、無料電話、無料駐車場など</t>
  </si>
  <si>
    <t>バス、トイレ、キッチン、ランドリーなど</t>
  </si>
  <si>
    <t>バス、トイレなど</t>
  </si>
  <si>
    <t>シャワー、トイレ、キッチン、ランドリーなど</t>
  </si>
  <si>
    <t>シャワー、トイレなど</t>
  </si>
  <si>
    <t>シャワー、トイレ、キッチンなど</t>
  </si>
  <si>
    <t>シャワー、トイレ、ランドリーなど</t>
  </si>
  <si>
    <t>バス、トイレ、ランドリー、宅急便など</t>
  </si>
  <si>
    <t>シャワー、トイレ、ランドリー、駐車場など</t>
  </si>
  <si>
    <t>バス、トイレ、ランドリー、アイロン、オーディオ、電話、ドライヤーなど</t>
    <rPh sb="24" eb="26">
      <t>デンw</t>
    </rPh>
    <phoneticPr fontId="1"/>
  </si>
  <si>
    <t xml:space="preserve">1）エコノミープラン（返金不可）
ドミトリーシェア料金　お一人様　30€/泊
貸切料金 
１号館　４名様まで　119€/泊
２号館　６名様まで　179€/泊 
貸切の場合は男性のご利用OKです。 
2）スタンダードプラン
ドミトリーシェア料金　お一人様　39€/泊
貸切料金
１号館　４名様まで　149€/泊
２号館　６名様まで　219€/泊 </t>
    <phoneticPr fontId="1"/>
  </si>
  <si>
    <t>ゲストハウス</t>
    <phoneticPr fontId="1"/>
  </si>
  <si>
    <t>タクシー手配</t>
    <rPh sb="4" eb="6">
      <t>テハ</t>
    </rPh>
    <phoneticPr fontId="1"/>
  </si>
  <si>
    <t>HP</t>
    <phoneticPr fontId="1"/>
  </si>
  <si>
    <t>あり</t>
    <phoneticPr fontId="1"/>
  </si>
  <si>
    <t>31 Rue Guilleminot 75014 Paris France</t>
    <phoneticPr fontId="1"/>
  </si>
  <si>
    <t>アップルハウス</t>
    <phoneticPr fontId="1"/>
  </si>
  <si>
    <t>ウエストアクトンハウス</t>
    <phoneticPr fontId="1"/>
  </si>
  <si>
    <t>アクトンタウンハウス</t>
    <phoneticPr fontId="1"/>
  </si>
  <si>
    <t>カムデンハウス</t>
    <phoneticPr fontId="1"/>
  </si>
  <si>
    <t>ハイドパークハウス</t>
    <phoneticPr fontId="1"/>
  </si>
  <si>
    <t>ウエストアクトンSTUDIO</t>
    <phoneticPr fontId="1"/>
  </si>
  <si>
    <t>カムデンSTUDIO</t>
    <phoneticPr fontId="1"/>
  </si>
  <si>
    <t>ロンドナーに人気のエリアにある、新装したての広い物件。専用バスタブ付きバス・トイレ室、キッチンはお部屋とは別スペースになって</t>
    <phoneticPr fontId="1"/>
  </si>
  <si>
    <t>2016年春にオープンした、ロンドンでは希な全くの新築物件。専用キッチン、バスタブ付きのバス・トイレ室、冷蔵庫や乾燥機付き洗濯機の備わった、窓からは広いお庭の見える南向きの明るい静かなワンルーム。</t>
    <phoneticPr fontId="1"/>
  </si>
  <si>
    <t>ロンドンで日本人駐在員ご家族が最も多く住む、閑静な住宅街にある、専用キッチン、シャワー・トイレ室、冷蔵庫や乾燥機付き洗濯機の備わったワンルーム物件。</t>
    <phoneticPr fontId="1"/>
  </si>
  <si>
    <t>ワンルームマンション</t>
    <phoneticPr fontId="1"/>
  </si>
  <si>
    <t>1つの建物内に、前述のSTUDIO Ⅰと、このSTUDIO Ⅱがあります。ミラータイプの造りとして、2室は間取りも設備も同様ですが、STUDIO ⅠはBlack brownを基調としたシックなアレンジ、STUDIO Ⅱは白を基調としたスッキリとしたアレンジです。</t>
    <phoneticPr fontId="1"/>
  </si>
  <si>
    <t>ハイドパークハウスは、Zone1の宿で、中心地にあります。あのハイドパークまで徒歩1分という優雅な環境、2つの地下鉄駅が徒歩0～2分の距離にあり、バスも充実、レストランの多い目の前の通りは夜遅くまでにぎわっています。</t>
    <phoneticPr fontId="1"/>
  </si>
  <si>
    <t>若者の街といわれるカムデンエリアにあります。ただし最寄駅は、カムデンタウン駅から高級住宅地方面へ1駅行ったチョークファーム駅ですので、周辺はレストラン街で落ち着いています。</t>
    <phoneticPr fontId="1"/>
  </si>
  <si>
    <t>在英日本人にもとても人気のあるスイスコテージにあります。センターかも近く、周辺にはレストランやスーパーなども多くて、生活にとても便利な街です。</t>
    <phoneticPr fontId="1"/>
  </si>
  <si>
    <t>ヒースロー空港から中心地へ向かう途中のアクトンタウン駅前0分、日本人駐在員ご家族が多く住む、ロンドンでも最も安全な地域といわれる場所にあります。</t>
    <phoneticPr fontId="1"/>
  </si>
  <si>
    <t>ロンドンでも最も安全なエリアの一つといわれる、日本人駐在員ご家族が多く住むエリアにあります。</t>
    <phoneticPr fontId="1"/>
  </si>
  <si>
    <t>ロンドンでも最も安全なエリアの一つといわれ、日本人駐在員ご家族が多く住むエリアにあります。</t>
    <phoneticPr fontId="1"/>
  </si>
  <si>
    <t>ノースアクトンフィールズSTUDIO Ⅱ</t>
    <phoneticPr fontId="1"/>
  </si>
  <si>
    <t xml:space="preserve">ノースアクトンフィールズSTUDIOⅠ </t>
    <phoneticPr fontId="1"/>
  </si>
  <si>
    <t>Room1 -Single×2 + Double- ￡31/泊~ 
Room2-Bunk bed- ￡29/泊~
Room3-Bunk bed- ￡29/泊~
Room4-Double bed- ￡29/泊~
Room5-Single bed- ￡28/泊 ~</t>
    <phoneticPr fontId="1"/>
  </si>
  <si>
    <t>Room2-Bunk bed- ￡33/泊~ 
Room3-Double bed- ￡29/泊~
Room4-Single bed- ￡28/泊~</t>
    <phoneticPr fontId="1"/>
  </si>
  <si>
    <t>Room1-Single×3-
ソファーセットエリア有  ￡33/泊~
Room2-Single×2 ￡31/泊 ~
Room3-Double bed- ￡30/泊~
Room4-Single bed- ￡29/泊~
Room5-Single bed- ￡28/泊~</t>
    <phoneticPr fontId="1"/>
  </si>
  <si>
    <t>Room1-Single×2-
別室キッチンダイニング、専用トイレ ￡43/泊~ 
Room2-Double bed- ￡37/泊~
Room3-Single bed- ￡37/泊~</t>
    <phoneticPr fontId="1"/>
  </si>
  <si>
    <t>Room1-Double bed- ￡47/泊~
Room2-Double+Single- ￡49/泊~
Room3-Double bed- ￡48/泊~
Room4-Double×2- ￡49/泊~
Room5-Single bed×3- ￡49/泊~</t>
    <phoneticPr fontId="1"/>
  </si>
  <si>
    <t xml:space="preserve">Single bed×2-  2名（3名） 
家賃:  ￡273/週 （￡39/泊） 
光熱費等 :￡6/泊 </t>
    <phoneticPr fontId="1"/>
  </si>
  <si>
    <t xml:space="preserve">King bed(Single bed×2)-  2名（3名）
家賃 : ￡273/週 （￡39/泊） 
光熱費等 : ￡6/泊 </t>
    <phoneticPr fontId="1"/>
  </si>
  <si>
    <t>King bed(Single bed×2)-   2名（3名） 家賃 : ￡273/週（￡39/泊）
光熱費等 :  ￡6/泊</t>
    <phoneticPr fontId="1"/>
  </si>
  <si>
    <t xml:space="preserve">Double+Single-   2名（3名）
家賃 : ￡336/週（￡48/泊）
光熱費等 :  ￡8/泊 </t>
    <phoneticPr fontId="1"/>
  </si>
  <si>
    <t>Room2-Bunk bed- ￡37/泊~</t>
    <phoneticPr fontId="1"/>
  </si>
  <si>
    <t>イギリス</t>
    <phoneticPr fontId="1"/>
  </si>
  <si>
    <t>シェアハウス</t>
    <phoneticPr fontId="1"/>
  </si>
  <si>
    <t>http://www.londonapplehouse.com/index.html</t>
    <phoneticPr fontId="1"/>
  </si>
  <si>
    <t>http://www.londonapplehouse.com/yoyakutoiawase.html</t>
  </si>
  <si>
    <t>info@londonapplehouse.com</t>
    <phoneticPr fontId="1"/>
  </si>
  <si>
    <t>お急ぎの場合は、+44(0)7900-457-222（もしくは+44(0)7501-039-324）</t>
    <phoneticPr fontId="1"/>
  </si>
  <si>
    <t>メール</t>
    <phoneticPr fontId="1"/>
  </si>
  <si>
    <t>シャワー、トイレ、ランドリーなど</t>
    <phoneticPr fontId="1"/>
  </si>
  <si>
    <t>お急ぎの場合は、+44(0)7900-457-222（もしくは+44(0)7501-039-325）</t>
  </si>
  <si>
    <t>お急ぎの場合は、+44(0)7900-457-222（もしくは+44(0)7501-039-326）</t>
  </si>
  <si>
    <t>お急ぎの場合は、+44(0)7900-457-222（もしくは+44(0)7501-039-327）</t>
  </si>
  <si>
    <t>お急ぎの場合は、+44(0)7900-457-222（もしくは+44(0)7501-039-328）</t>
  </si>
  <si>
    <t>お急ぎの場合は、+44(0)7900-457-222（もしくは+44(0)7501-039-329）</t>
  </si>
  <si>
    <t>お急ぎの場合は、+44(0)7900-457-222（もしくは+44(0)7501-039-330）</t>
  </si>
  <si>
    <t>お急ぎの場合は、+44(0)7900-457-222（もしくは+44(0)7501-039-331）</t>
  </si>
  <si>
    <t>お急ぎの場合は、+44(0)7900-457-222（もしくは+44(0)7501-039-332）</t>
  </si>
  <si>
    <t>お急ぎの場合は、+44(0)7900-457-222（もしくは+44(0)7501-039-333）</t>
  </si>
  <si>
    <t>住所などは、ご予約時お知らせ。
（※地図は参考程度にお使いください。）</t>
    <rPh sb="18" eb="20">
      <t>チz</t>
    </rPh>
    <rPh sb="21" eb="25">
      <t>サンコ</t>
    </rPh>
    <phoneticPr fontId="1"/>
  </si>
  <si>
    <t>なし？</t>
    <phoneticPr fontId="1"/>
  </si>
  <si>
    <t>快適 ロンドンの日本人宿</t>
    <phoneticPr fontId="1"/>
  </si>
  <si>
    <t>+44-(0)20 7387 9125　</t>
    <phoneticPr fontId="1"/>
  </si>
  <si>
    <t>38 Albany Street LONDON NW1 4EA United Kingdom</t>
    <phoneticPr fontId="1"/>
  </si>
  <si>
    <t>The Gendai Guest House</t>
    <phoneticPr fontId="1"/>
  </si>
  <si>
    <t>シングルルーム 全3室
58ポンド＋税 20%
ツインルーム 全3室
88ポンド＋税 20%
ダブルルーム 全1室
88ポンド＋税 20%
ファミリールーム 全1室
120ポンド（3名様）、130ポンド（4名様）＋税 20%</t>
    <phoneticPr fontId="1"/>
  </si>
  <si>
    <t>バス、トイレ、ランドリー、電話、ドライヤーなど</t>
    <rPh sb="13" eb="15">
      <t>デンw</t>
    </rPh>
    <phoneticPr fontId="1"/>
  </si>
  <si>
    <t>https://www.gendai-guesthouse.co.uk/book.html</t>
    <phoneticPr fontId="1"/>
  </si>
  <si>
    <t xml:space="preserve">ggh@gendai.co.uk </t>
    <phoneticPr fontId="1"/>
  </si>
  <si>
    <t>https://www.gendai-guesthouse.co.uk/</t>
    <phoneticPr fontId="1"/>
  </si>
  <si>
    <t>http://www.london-tokyo.co.uk/guesthouse.php</t>
    <phoneticPr fontId="1"/>
  </si>
  <si>
    <t>ハムステッドグリーン・ゲストハウス</t>
    <phoneticPr fontId="1"/>
  </si>
  <si>
    <t xml:space="preserve">122C Finchley Road, London, NW3 5HT
</t>
    <phoneticPr fontId="1"/>
  </si>
  <si>
    <t>シングルルーム 
Room1 £66＋VAT
Room3 £77＋VAT
Room6 £72＋VAT
Room7 £77＋VAT
ツインルーム 
Room2 £110＋VAT
Room4 £105＋VAT
Room5 £115＋VAT
Room8 £95＋VAT
Room10 £95＋VAT
Room11 £115＋VAT
(1部屋1泊の料金)</t>
    <phoneticPr fontId="1"/>
  </si>
  <si>
    <t>https://www.london-tokyo.co.uk/guesthouse_contact.php</t>
  </si>
  <si>
    <t>HP</t>
    <phoneticPr fontId="1"/>
  </si>
  <si>
    <t>0044(0)20-7431-4550 
月〜金 9:00〜18:00（土日祝休）</t>
    <phoneticPr fontId="1"/>
  </si>
  <si>
    <t xml:space="preserve"> hampstead@london-tokyo.co.uk</t>
    <phoneticPr fontId="1"/>
  </si>
  <si>
    <t>ハイドパークグリーン・ゲストハウス</t>
    <phoneticPr fontId="1"/>
  </si>
  <si>
    <t>53 Inverness Terrace, London W2 3JN</t>
    <phoneticPr fontId="1"/>
  </si>
  <si>
    <t>シングルルーム
Room2 £77+VAT 
Room3 £83+VAT 
Room5 £77+VAT 
Room6 £66+VAT 
Room7 £66+VAT 
Room8 £83+VAT 
Room10 £77+VAT
(1部屋1泊の料金)
ツインルーム 
Room9 £100+VAT 
(1部屋1泊の料金)
ファミリールーム Room1 
£138+VAT
(お二人様での料金) 
スイートルーム Room4 
£193+VAT
(お二人様での料金)</t>
    <phoneticPr fontId="1"/>
  </si>
  <si>
    <t>http://www.london-tokyo.co.uk/guesthouse2.php</t>
    <phoneticPr fontId="1"/>
  </si>
  <si>
    <t>hydepark@london-tokyo.co.uk</t>
    <phoneticPr fontId="1"/>
  </si>
  <si>
    <t>0044(0)20-7243-1003
月〜金 9:00〜18:00（土日祝休）</t>
    <phoneticPr fontId="1"/>
  </si>
  <si>
    <t>ハイドパークグリーンはビクトリア様式の建物。この周辺は国際色豊かなレストランやデパート、ショップ、スーパーマーケット等が揃う人気のエリアです。</t>
    <phoneticPr fontId="1"/>
  </si>
  <si>
    <t>ハムステッドグリーンは淡い色で統一され、清潔でゆったりした室内。広い駐車場も完備して、長期短期を問わず快適にご滞在いただけます。</t>
    <phoneticPr fontId="1"/>
  </si>
  <si>
    <t>バス、トイレ、ランドリー、電話、ドライヤー,など</t>
    <rPh sb="13" eb="15">
      <t>デンw</t>
    </rPh>
    <phoneticPr fontId="1"/>
  </si>
  <si>
    <t>バス、トイレ、ランドリー、電話、ドライヤー、駐車場など</t>
    <rPh sb="13" eb="15">
      <t>デンw</t>
    </rPh>
    <rPh sb="22" eb="25">
      <t>チュ</t>
    </rPh>
    <phoneticPr fontId="1"/>
  </si>
  <si>
    <t>地下鉄ノーザンラインのゴルダーズグリーン駅前、徒歩1分の便利な場所にあり、日本食レストラン、日本食料品店、銀行、生活に大変便利なエリアです。</t>
    <phoneticPr fontId="1"/>
  </si>
  <si>
    <t>http://www.london-tokyo.co.uk/weeklyflat.php</t>
    <phoneticPr fontId="1"/>
  </si>
  <si>
    <t>golders@london-tokyo.co.uk</t>
    <phoneticPr fontId="1"/>
  </si>
  <si>
    <t>0044(0)20-8455-7544
月〜金 9:00〜18:00</t>
    <phoneticPr fontId="1"/>
  </si>
  <si>
    <t>シングルルーム：週￡350+VAT 
Flat 1 4階フロントサイド（キッチン共同）
Flat 2 4階リアサイド（キッチン共同）
Flat 4 3階リアサイド（キッチン共同）
ダブルルーム：週￡390+VAT
Flat 3 3階フロントサイド（キッチン共同）</t>
    <phoneticPr fontId="1"/>
  </si>
  <si>
    <t>8 North End Road, London NW11 7PH</t>
    <phoneticPr fontId="1"/>
  </si>
  <si>
    <t>ウィークリーフラット・ゴルダーズグリーン</t>
    <phoneticPr fontId="1"/>
  </si>
  <si>
    <t>クロアチア</t>
    <phoneticPr fontId="1"/>
  </si>
  <si>
    <t>タンザニア</t>
    <phoneticPr fontId="1"/>
  </si>
  <si>
    <t>エジプト</t>
    <phoneticPr fontId="1"/>
  </si>
  <si>
    <t>アフリカ</t>
    <phoneticPr fontId="1"/>
  </si>
  <si>
    <t>東アジア</t>
    <rPh sb="0" eb="1">
      <t>ヒg</t>
    </rPh>
    <phoneticPr fontId="1"/>
  </si>
  <si>
    <t>東南アジア</t>
    <rPh sb="0" eb="2">
      <t>トウナンアジ</t>
    </rPh>
    <phoneticPr fontId="1"/>
  </si>
  <si>
    <t>西アジア</t>
    <rPh sb="0" eb="1">
      <t>ニシアj</t>
    </rPh>
    <phoneticPr fontId="1"/>
  </si>
  <si>
    <t>オーストラリア</t>
    <phoneticPr fontId="1"/>
  </si>
  <si>
    <t>中国</t>
    <rPh sb="0" eb="2">
      <t>チュ</t>
    </rPh>
    <phoneticPr fontId="1"/>
  </si>
  <si>
    <t>トルコ</t>
    <phoneticPr fontId="1"/>
  </si>
  <si>
    <t>台湾</t>
  </si>
  <si>
    <t>ネパール</t>
    <phoneticPr fontId="1"/>
  </si>
  <si>
    <t>カンボジア</t>
    <phoneticPr fontId="1"/>
  </si>
  <si>
    <t>タイ</t>
    <phoneticPr fontId="1"/>
  </si>
  <si>
    <t>フィリピン</t>
    <phoneticPr fontId="1"/>
  </si>
  <si>
    <t>インドネシア</t>
    <phoneticPr fontId="1"/>
  </si>
  <si>
    <t>ニュージーランド</t>
  </si>
  <si>
    <t>イギリス</t>
    <phoneticPr fontId="1"/>
  </si>
  <si>
    <t>北アジア</t>
    <rPh sb="0" eb="1">
      <t>キタ</t>
    </rPh>
    <phoneticPr fontId="1"/>
  </si>
  <si>
    <t>南アジア</t>
    <phoneticPr fontId="1"/>
  </si>
  <si>
    <t>中央アジア</t>
    <rPh sb="0" eb="2">
      <t>チュ</t>
    </rPh>
    <phoneticPr fontId="1"/>
  </si>
  <si>
    <t>スイスコテージハウス</t>
    <phoneticPr fontId="1"/>
  </si>
  <si>
    <t>String</t>
    <phoneticPr fontId="1"/>
  </si>
  <si>
    <t>ホテル</t>
  </si>
  <si>
    <t>スペイン</t>
  </si>
  <si>
    <t>Puchi Chiquito</t>
  </si>
  <si>
    <t>Gran Via 576 ,
3 Barcelona 
08011 Spain</t>
  </si>
  <si>
    <t>41.384329
2.161936</t>
  </si>
  <si>
    <t>扇風機完備：
シングル：
一泊42ユーロ（4連泊以上からは41ユーロ、8連泊以上からは40ユーロ）
全室エアコン＆扇風機完備：
シングル グランデ：
一泊47ユーロ（4連泊以上からは46ユーロ、8連泊以上からは45ユーロ）
ダブルルーム：
一泊63ユーロ（4連泊以上からは62ユーロ、8連泊以上からは61ユーロ）
ツインルーム：
一泊66ユーロ（4連泊以上からは65ユーロ、8連泊以上からは64ユーロ）
トリプルルーム：
一泊93ユーロ（4連泊以上からは90ユーロ、8連泊以上からは87ユーロ）
１ベット(三人シェアルーム／男女混合)：
一泊31.50ユーロ（4連泊以上からは30.50ユーロ、8連泊以上からは29.50ユーロ）
１ベット(女性専用シェアルーム)
一泊31.50ユーロ（4連泊以上からは30.50ユーロ、8連泊以上からは29.50ユーロ）</t>
  </si>
  <si>
    <t>あり</t>
  </si>
  <si>
    <t>なし</t>
  </si>
  <si>
    <t>サロン
キッチン
フリーコーヒー＆ティー
ボディシャンプー
ドライヤー完備
バスタオル
シャワー＆トイレ
冷蔵庫
エレベーター完備
テラス
暖房
扇風機
エアコンなど</t>
  </si>
  <si>
    <t>https://puchichiquito.wordpress.com/contact/</t>
  </si>
  <si>
    <t>93 323 4706(スペイン国内) 
+34 93 323 4706(スペイン国外)</t>
  </si>
  <si>
    <t>https://www.emailmeform.com/builder/form/28hbr0vsSueccX0909</t>
  </si>
  <si>
    <t>プチ チキート／Puchi Chiquitoは、
バルセロナの中心に位置し、
バルセロナ観光に最適で抜群なロケーションです。
各部屋は日当たりが良好。
アクティブに動く為のベースとして
滞在をしたい方や現地に住んでいるような感覚で
滞在をしたい人にはオススメです。</t>
  </si>
  <si>
    <t>ワイファイで見れない</t>
  </si>
  <si>
    <t>FINCA LAS ENCINAS</t>
  </si>
  <si>
    <t>Casa Rural Finca Las Encinas,, Calle Partido de Los Juncares, 31, Los Juncares, 14979 Iznajar, Córdoba</t>
  </si>
  <si>
    <t>37.297537
-4.277241</t>
  </si>
  <si>
    <t>シングル：６０ユーロ
ダブル　：８０ユーロ</t>
  </si>
  <si>
    <t>イギリス人と日本人の夫婦オーナーが経営するB&amp;B。言語の心配なく、きめ細やかで温かななサービスに一瞬故郷に戻ったかのようにリラックスできるはず。おいしい料理や料理教室も魅力的。</t>
  </si>
  <si>
    <t>Hotel La Luna Blanca</t>
  </si>
  <si>
    <t>Pje. del Cerrillo, 2, 29620 Torremolinos, Málaga</t>
  </si>
  <si>
    <t>36.36410
-4. 30768</t>
  </si>
  <si>
    <t xml:space="preserve">ダブル：130ユーロ
</t>
  </si>
  <si>
    <t>エアコン
ランドリー
レストランなど</t>
  </si>
  <si>
    <t>https://www.hotellalunablanca.com/eng/contact-malaga-hotel/</t>
  </si>
  <si>
    <t xml:space="preserve">
https://www.hotellalunablanca.com/localizacion-hotel-torremolinos/</t>
  </si>
  <si>
    <t>ルナブランカでホットのんびりアンダルシア満喫！
ヨーロッパ各都市からダイレクト便で約２時間半　昼には地中海を見ながらシーフード料理に舌づつみ
ホテルは地中海に面したコスタデルソルの中心地トレモリーノスという町にあります。最寄りのマラガ国際空港はパリやロンドンヨーロッパ主要都市からダイレクト便でひとっ飛び。空港からは車で10分、電車で１５分、海岸やシーフードレストラン街も近く徒歩8分、又20分ほど歩くと優雅なヨットハーバーや町の中心に行くことができます。</t>
  </si>
  <si>
    <t>ゲストハウス</t>
  </si>
  <si>
    <t>Patio granada</t>
  </si>
  <si>
    <t>Calle Ánimas, 1, 18009 Granada, スペイン</t>
  </si>
  <si>
    <t xml:space="preserve">37.176372、
-3.595459
</t>
  </si>
  <si>
    <t>個室　小:28ユーロ/日～
個室　大:30ユーロ/日～
二人部屋:42ユーロ/日～
三人部屋:48ユーロ/日～
ドミトリー（相部屋）:19ユーロ/日</t>
  </si>
  <si>
    <t>HP,メール</t>
  </si>
  <si>
    <t>http://patiogranada.com/contact</t>
  </si>
  <si>
    <t>granadarco@hotmail.com</t>
  </si>
  <si>
    <t>http://patiogranada.com/</t>
  </si>
  <si>
    <t>ゲストハウス・パティオ・グラナダ（Guesthouse Patio Granada ）は、日本語で安心してお問合せいただける格安・快適な日本人宿です。ユネスコ世界遺産アルハンブラ宮殿のある美しい街グラナダのごく中心地にあるため主要観光スポット、バル、ショップ、アカデミア等ほぼ全てが徒歩圏。自炊もOK！長短期滞在可能な日本人経営の宿ですので、スペイン語に不慣れな方、学生、バックパッカー、女性一人旅の方でも安心です。フラメンコ鑑賞ツアーはじめ、ギター、語学など各種留学の手配もぜひお任せください</t>
  </si>
  <si>
    <t>ポルトガル</t>
  </si>
  <si>
    <t>Castella　Do　Paulo</t>
  </si>
  <si>
    <t>Rua da Alfândega 120, 1100-016 Lisboa, ポルトガル</t>
  </si>
  <si>
    <t>38.708797、
-9.134466</t>
  </si>
  <si>
    <t>001-351-21-2214446</t>
  </si>
  <si>
    <t>tomozinha@hotmail.com</t>
  </si>
  <si>
    <t>http://www.sm.rim.or.jp/~tkono/index22.htm</t>
  </si>
  <si>
    <t>ドイツ</t>
  </si>
  <si>
    <t>GAUTINGER HOF</t>
  </si>
  <si>
    <t xml:space="preserve">Pippinstraße 1, 82131 Gauting, ドイツ
</t>
  </si>
  <si>
    <t xml:space="preserve">48.072605、
11.374032
</t>
  </si>
  <si>
    <t xml:space="preserve">シングル：79ユーロ〜
ダブルルーム：110ユーロ～
</t>
  </si>
  <si>
    <t>ケーブルテレビ
直通電話
エレベーター、地下駐車場
冷蔵庫
ヘアドライヤー
インターネット接続　（無料無線 LAN）など</t>
  </si>
  <si>
    <t>http://www.gautingerhof.de/index.php/resevierung-ja.html</t>
  </si>
  <si>
    <t>(+49) (0) 89/8 93 25 80</t>
  </si>
  <si>
    <t>email@izumis.de</t>
  </si>
  <si>
    <t>http://www.gautingerhof.de/index.php/hotel-ja.html</t>
  </si>
  <si>
    <t>大きな木々の茂ったビヤガーデンもある
このホテルはガウティングの中心に
位置しながらも大変静かな
住宅街にあります。
買い物にも便利なところです。</t>
  </si>
  <si>
    <t>Ork Inn DusselDorf</t>
  </si>
  <si>
    <t>Friedrich-Ebert-Straße 30, 40210 Düsseldorf, ドイツ</t>
  </si>
  <si>
    <t>51.221820、
6.789428</t>
  </si>
  <si>
    <t>二泊三日
シングル：158～194ユーロ
ダブル：230ﾕｰﾛ</t>
  </si>
  <si>
    <t>バスルーム・トイレ、キッチン、直通電話、インターネット設備
テレビ（JSTV（日本語衛星放送）視聴可）や家具、キッチン設備、調理器具、電子レンジ、
食器類など</t>
  </si>
  <si>
    <t>http://www.oakinn.com/dus/index.html</t>
  </si>
  <si>
    <t>49(0)211 169797-0</t>
  </si>
  <si>
    <t>dussel-office@akinn.com</t>
  </si>
  <si>
    <t>デュッセルドルフへのご出張、ご赴任、ご帰任の際に．．．オークインは皆様に快適なご滞在をサポート致します。</t>
  </si>
  <si>
    <t>スイス</t>
  </si>
  <si>
    <t>Hotel Bellary</t>
  </si>
  <si>
    <t>CH.3818 Grindelwald,Berner Oberland</t>
  </si>
  <si>
    <t xml:space="preserve">46.600058、
8.053054
</t>
  </si>
  <si>
    <t>Kinder 0-2 Jahre gratis
Children 0-2 years free
Zusatzbett für Kinder 3-8 Jahre 30
Extra bed children 3-8 years 30
Zusatzbett für Kinder 9-12 Jahre 40
Extra bed children 9-12 years 40</t>
  </si>
  <si>
    <t>http://www.bellary.ch/indjp.php</t>
  </si>
  <si>
    <t>＋41 33 853 10 06</t>
  </si>
  <si>
    <t>info@bellary.ch 　</t>
  </si>
  <si>
    <t>http://www.bellary.ch/inden.php</t>
  </si>
  <si>
    <t>　 100 年以上のの歴史のあるホテル ・ べラリーは、1984 年に改装し全室バス又はシャワー、トイレ付きになりました。駅より徒歩 10 分、広い庭、静かな森の近く。アイガーを正面に見ながらの朝食、昼はお花畑の中をハイキング、夕食後のテラスでコーヒーを飲みながらの団欒。シャレー風ホテル ・ ベラリーは休養の場所として最適です。心から皆様のお出でをお待ちしてます。</t>
  </si>
  <si>
    <t>Ryokan USAGIYAMA</t>
  </si>
  <si>
    <t>Hasenbergstr. 74
8967 Widen
Schweiz</t>
  </si>
  <si>
    <t>47.378997、
8.365018</t>
  </si>
  <si>
    <t>-Japanisches Wohnzimmer (Tokonoma)
-Japanisches Nebenzimmer (Ninoma)
-Teezeremonie od. Studiozimmer
-Grosse Terrase mit Jacuzzi Whirlpool gefüllt mit Badener Thermalwasser
-Eigene Sauna
-Klimaanlagen
-Futon u.a.-Doppelbett 
-Terrase 
-Klimaanlagen
-Sateliten TV inkl. JSTV
-Badewanne+Duscheなど</t>
  </si>
  <si>
    <t>http://www.hotel-hasenberg.ch/index.php?id=35&amp;L=3</t>
  </si>
  <si>
    <t>41 56 648 40 00</t>
  </si>
  <si>
    <t xml:space="preserve">reservation@hotel-hasenberg.ch
Opens window for sending email
</t>
  </si>
  <si>
    <t>http://www.hotel-
hasenberg.ch/
start_jp.html</t>
  </si>
  <si>
    <t>Villa Pipeline</t>
  </si>
  <si>
    <t>Niesenstrasse 9, 3600 Thun, Switzerland</t>
  </si>
  <si>
    <t>46.751812、
7.630329</t>
  </si>
  <si>
    <t>033-223-3141</t>
  </si>
  <si>
    <t>トゥーンＴｈｕｎへ　ようこそ
　１７７９年　ゲーテが訪れました。メンデルスゾーン、ブラームス、リルケが滞在しました。創作の意欲を高めるためにでしょうか、創作に疲れた魂を休めるためだったのでしょうか。　　　　　　　　　　　　　　　　　　　　　　　　　　　　　　　　　　　　　　　　　　　　　　　　　そして若かりし頃のナポレオン三世も滞在した街です。
　このアルプスと湖の街で　心身のリフレッシュはいかがですか。</t>
  </si>
  <si>
    <t>ペンション</t>
  </si>
  <si>
    <t>ポーランド</t>
  </si>
  <si>
    <t>Villa AKIKO</t>
  </si>
  <si>
    <t xml:space="preserve">os. Ariake 1, 34-434 Debno Harklowa, ポーランド
</t>
  </si>
  <si>
    <t>49.472167、
20.186572</t>
  </si>
  <si>
    <t>有：
汽車、バス、タクシー、普通自動車、
ジープ</t>
  </si>
  <si>
    <t>http://www.akiko.pl/?lang=ja</t>
  </si>
  <si>
    <t>(48)601 454 765</t>
  </si>
  <si>
    <t>akiko@akiko.pl</t>
  </si>
  <si>
    <t>ヴィラAKIKO‐山の上から見る世界はよりきれいです。
ここには良いエネルギーとエコロジーが満ち溢れています。</t>
  </si>
  <si>
    <t>ハンガリー</t>
  </si>
  <si>
    <t>さくらんぼ</t>
  </si>
  <si>
    <t>H-1068 Budapest Benczúr u. 7</t>
  </si>
  <si>
    <t xml:space="preserve">47.509485、
19.072105
</t>
  </si>
  <si>
    <t xml:space="preserve">ドミトリー：20ユーロ
トリプル：90ユーロ
ツイン・ダブル（２人用）：70ユーロ
シングル：40ユーロ
</t>
  </si>
  <si>
    <t>http://sakuranbo-bp.com/reserve.html</t>
  </si>
  <si>
    <t>postmaster@sakuranbo.t-online.hu</t>
  </si>
  <si>
    <t>http://sakuranbo-bp.com/index.html</t>
  </si>
  <si>
    <t>『さくらんぼ』は、1991年に
日本人とハンガリー人が共同で
設立した、ハンガリー・ブダペスト
にある小さな民宿です。
主に日本人のお客様を対象にしております。</t>
  </si>
  <si>
    <t>Andante hostel Budapest</t>
  </si>
  <si>
    <t xml:space="preserve">Budapest, Kertész u. 35, 1073 ハンガリー
</t>
  </si>
  <si>
    <t xml:space="preserve">47.501802、
19.065788
</t>
  </si>
  <si>
    <t>ハイシーズン：
ドミトリールーム　1３ユーロ
オフシーズン：
ドミトリールーム　1３ユーロ</t>
  </si>
  <si>
    <t>日本人スタッフの対応、冷蔵庫、炊飯器、キッチン使用可、ＤＶＤ、インターネット(無料）、無線LAN完備、男女別ホットシャワー、洗濯機、1500冊以上の漫画など</t>
  </si>
  <si>
    <t>http://wp.andantehostel.com/</t>
  </si>
  <si>
    <t>0036-1-785-6191</t>
  </si>
  <si>
    <t xml:space="preserve">info@andantehostel.com
</t>
  </si>
  <si>
    <t>ペンションセンテンドレ</t>
  </si>
  <si>
    <t>Vadrozsa u. 9, Szentendre, Hungary</t>
  </si>
  <si>
    <t>47.691055、
19.068510</t>
  </si>
  <si>
    <t>１名様　１部屋　４０００円
２名様　１部屋　７０００円
３名様　１部屋　９０００円</t>
  </si>
  <si>
    <t>http://pensionszentendre.blogspot.com/</t>
  </si>
  <si>
    <t>pensionszentendre@gmail.com</t>
  </si>
  <si>
    <t>ハンガリ－の首都ブダペストからちょっと離れた芸術の街センテンドレ。日本人とハンガリ－人夫婦が営んでいるアットホ－ムなペンションです。ヨ－ロッパの街でのんびりしたい方にお勧めです。</t>
  </si>
  <si>
    <t>オランダ</t>
  </si>
  <si>
    <t>HOTEL MY HOME</t>
  </si>
  <si>
    <t>Haarlemmerstraat 82
1013 EV AMSTERDAM
The Netherlands</t>
  </si>
  <si>
    <t>52.380531、
4.891552</t>
  </si>
  <si>
    <t>Double room (one bed) 75.00 
95.00(Weekend)
Twin room (two beds) 75.00 
95.00(Weekend)
Triple room (three single beds) 30.00 
45.00 p.p.(Weekend)
Four person room (4 single beds) 30.00 
45.00 p.p.(Weekend)
Private five person room (five single beds) 30.00 
45.00 p.p.(Weekend)
Five person dorm (five single beds) 30.00 
45.00 p.p.(Weekend)</t>
  </si>
  <si>
    <t>supermarkets
laundrette
cafes
pharmacy
coffee shops
restaurants など</t>
  </si>
  <si>
    <t>http://www.amsterdambudgethotel.com/make-reservation/</t>
  </si>
  <si>
    <t>＋31 20 624 23 20</t>
  </si>
  <si>
    <t>reservations@
amsterdam
budgethotel.com</t>
  </si>
  <si>
    <t>http://www.amsterdambudgethotel.com/automatische-concepten/</t>
  </si>
  <si>
    <t>Amsterdam budget hotel My Home has been catering to guests from all over the world since 1948. Our budget hotel/ hostel is ideal for those on a small budget. It is centrally located in one of the most diverse shopping streets on the edge of the colorful Jordan. The budget hotel/hostel is within walking distance (5 to 7 minutes) of Central Station, as well as many other sights not to be missed during a trip to Amsterdam. Our street is home to many alternative clothes stores and every other amenity you could need.</t>
  </si>
  <si>
    <t>ホームステイ</t>
  </si>
  <si>
    <t>フランス</t>
  </si>
  <si>
    <t>VILLA MISTRAL</t>
  </si>
  <si>
    <t>住所などは、ご予約時お知らせ。
（※地図は参考程度にお使いください。）</t>
  </si>
  <si>
    <t>お１人様　朝夕食付き　３泊４日　２００ユーロ 
お１人様　朝夕食付き　７泊８日　３８０ユーロ　
お２人様　朝夕食付き　３泊４日　３６０ユーロ   お２人様　朝夕食付き　７泊８日　７５０ユーロ </t>
  </si>
  <si>
    <t>無料WiFiあり</t>
  </si>
  <si>
    <t xml:space="preserve">我が家の最寄り駅または最寄りバス停までは、私たちの時間が合う限り、無料で車にて送迎させていただいております。（最寄り駅はLA CRAU駅・ラ クロと読みます）
</t>
  </si>
  <si>
    <t>シャワー、トイレ、ランドリー、プールなど</t>
  </si>
  <si>
    <t>https://mistral83.jimdo.com/</t>
  </si>
  <si>
    <t>ご予約時お知らせ。</t>
  </si>
  <si>
    <t>malaurent.yuka@free.fr</t>
  </si>
  <si>
    <t>http://www.geocities.co.jp/SweetHome-Green/8563/</t>
  </si>
  <si>
    <t>ご宿泊頂くのは南仏在住１７年、現地観光局勤務の日本人とフランス人、子供２人（高校生と中学生）の家庭です。毎日、仏語と日本語が飛び交います。高台の住宅地にあるプール付きの一軒家でのホームステイ。南仏イエール隣町です。</t>
  </si>
  <si>
    <t>北アメリカ</t>
    <rPh sb="0" eb="1">
      <t>キタアメリk</t>
    </rPh>
    <phoneticPr fontId="1"/>
  </si>
  <si>
    <t>南アメリカ</t>
    <phoneticPr fontId="1"/>
  </si>
  <si>
    <t>ヨーロッパ</t>
    <phoneticPr fontId="1"/>
  </si>
  <si>
    <t>アジア１（北アジア〜東アジア〜東南アジア）</t>
    <phoneticPr fontId="1"/>
  </si>
  <si>
    <t>アジア２（中央アジア〜西アジア〜南アジア）</t>
    <phoneticPr fontId="1"/>
  </si>
  <si>
    <t>オーストラリア・オセアニア</t>
    <phoneticPr fontId="1"/>
  </si>
  <si>
    <t>カラーマニュアル</t>
    <phoneticPr fontId="1"/>
  </si>
  <si>
    <t>red</t>
    <phoneticPr fontId="1"/>
  </si>
  <si>
    <t>blue</t>
    <phoneticPr fontId="1"/>
  </si>
  <si>
    <t>green</t>
    <phoneticPr fontId="1"/>
  </si>
  <si>
    <t>RGB：red</t>
    <phoneticPr fontId="1"/>
  </si>
  <si>
    <t>RGB：green</t>
    <phoneticPr fontId="1"/>
  </si>
  <si>
    <t>RGB：blue</t>
    <phoneticPr fontId="1"/>
  </si>
  <si>
    <t>アメリカ国内：（８８８）２３２ー１０８９
                           海外より：（８０２）８７５ー２３４６</t>
  </si>
  <si>
    <t>alpha</t>
    <phoneticPr fontId="1"/>
  </si>
  <si>
    <t>ParentsTableViewCell</t>
    <phoneticPr fontId="1"/>
  </si>
  <si>
    <t>Childs2ndStageTableViewCell</t>
    <phoneticPr fontId="1"/>
  </si>
  <si>
    <t>Childs3rdStageTableViewCell</t>
    <phoneticPr fontId="1"/>
  </si>
  <si>
    <t>透明度マニュアル</t>
    <rPh sb="0" eb="3">
      <t>トウメ</t>
    </rPh>
    <phoneticPr fontId="1"/>
  </si>
  <si>
    <t>The One Hundred</t>
    <phoneticPr fontId="1"/>
  </si>
  <si>
    <t xml:space="preserve">
ザ･ワンハンドレッドは、ホテルのようなクオリティーを保ちながら おしゃれな友人宅を訪れているような安心感と快適さのある滞在をしていただこうという考えではじめた ベッド・アンド・ブレックファーストです。 </t>
    <phoneticPr fontId="1"/>
  </si>
  <si>
    <t>Hare Kapone</t>
    <phoneticPr fontId="1"/>
  </si>
  <si>
    <t>Tuki Haka Hevari, Hanga Roa, Easter Island, Chile</t>
    <phoneticPr fontId="1"/>
  </si>
  <si>
    <t>Hare Kaponeは日本人専用の日本人宿で、お客様だけで一軒家をシェアするタイプのドミトリーです。</t>
    <phoneticPr fontId="1"/>
  </si>
  <si>
    <t>comment</t>
    <phoneticPr fontId="1"/>
  </si>
  <si>
    <t>address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</si>
</sst>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lt;=999]000;[&lt;=9999]000\-00;000\-0000"/>
  </numFmts>
  <fonts count="17" x14ac:knownFonts="1">
    <font>
      <sz val="12"/>
      <color theme="1"/>
      <name val="Yu Gothic"/>
      <family val="2"/>
      <charset val="128"/>
      <scheme val="minor"/>
    </font>
    <font>
      <sz val="6"/>
      <name val="Yu Gothic"/>
      <family val="2"/>
      <charset val="128"/>
      <scheme val="minor"/>
    </font>
    <font>
      <u/>
      <sz val="12"/>
      <color theme="10"/>
      <name val="Yu Gothic"/>
      <family val="2"/>
      <charset val="128"/>
      <scheme val="minor"/>
    </font>
    <font>
      <u/>
      <sz val="12"/>
      <color theme="11"/>
      <name val="Yu Gothic"/>
      <family val="2"/>
      <charset val="128"/>
      <scheme val="minor"/>
    </font>
    <font>
      <sz val="12"/>
      <color rgb="FF000000"/>
      <name val="Yu Gothic"/>
      <family val="3"/>
      <charset val="128"/>
      <scheme val="minor"/>
    </font>
    <font>
      <b/>
      <sz val="11"/>
      <color rgb="FF373737"/>
      <name val="Helvetica Neue"/>
      <family val="2"/>
    </font>
    <font>
      <sz val="12"/>
      <color rgb="FF111111"/>
      <name val="Helvetica Neue"/>
      <family val="2"/>
    </font>
    <font>
      <sz val="11"/>
      <color rgb="FF373737"/>
      <name val="Helvetica Neue"/>
      <family val="2"/>
    </font>
    <font>
      <sz val="11"/>
      <color rgb="FF667279"/>
      <name val="Roboto"/>
      <family val="2"/>
    </font>
    <font>
      <sz val="12"/>
      <color rgb="FF3A3A3A"/>
      <name val="Sawarabi Gothic"/>
      <family val="2"/>
    </font>
    <font>
      <sz val="12"/>
      <color rgb="FF000000"/>
      <name val="Hiragino Kaku Gothic ProN"/>
      <family val="2"/>
      <charset val="128"/>
    </font>
    <font>
      <sz val="9"/>
      <color rgb="FF5B5B5B"/>
      <name val="Roboto"/>
    </font>
    <font>
      <sz val="9"/>
      <color rgb="FF000000"/>
      <name val="Hiragino Kaku Gothic ProN"/>
      <family val="2"/>
      <charset val="128"/>
    </font>
    <font>
      <sz val="9"/>
      <color rgb="FF000000"/>
      <name val="Arial"/>
      <family val="2"/>
    </font>
    <font>
      <sz val="12"/>
      <color rgb="FF000000"/>
      <name val="Lucida Grande"/>
      <family val="2"/>
    </font>
    <font>
      <sz val="11"/>
      <color rgb="FF000000"/>
      <name val="Yu Gothic"/>
      <family val="3"/>
      <charset val="128"/>
      <scheme val="minor"/>
    </font>
    <font>
      <sz val="16"/>
      <color theme="1"/>
      <name val="Yu Gothic"/>
      <family val="2"/>
      <charset val="128"/>
      <scheme val="minor"/>
    </font>
  </fonts>
  <fills count="6">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00"/>
        <bgColor indexed="64"/>
      </patternFill>
    </fill>
  </fills>
  <borders count="2">
    <border>
      <left/>
      <right/>
      <top/>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s>
  <cellStyleXfs count="41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41">
    <xf numFmtId="0" fontId="0" fillId="0" borderId="0" xfId="0"/>
    <xf numFmtId="176" fontId="0" fillId="0" borderId="0" xfId="0" applyNumberFormat="1" applyFont="1" applyAlignment="1">
      <alignment horizontal="left" vertical="center" wrapText="1"/>
    </xf>
    <xf numFmtId="176" fontId="0" fillId="0" borderId="0" xfId="0" applyNumberFormat="1" applyAlignment="1">
      <alignment horizontal="left" vertical="center" wrapText="1"/>
    </xf>
    <xf numFmtId="176" fontId="0" fillId="2" borderId="0" xfId="0" applyNumberFormat="1" applyFill="1" applyAlignment="1">
      <alignment horizontal="left" vertical="center" wrapText="1"/>
    </xf>
    <xf numFmtId="176" fontId="0" fillId="0" borderId="0" xfId="0" applyNumberFormat="1" applyFill="1" applyAlignment="1">
      <alignment horizontal="left" vertical="center" wrapText="1"/>
    </xf>
    <xf numFmtId="49" fontId="0" fillId="0" borderId="0" xfId="0" applyNumberFormat="1" applyAlignment="1">
      <alignment horizontal="left" vertical="center" wrapText="1"/>
    </xf>
    <xf numFmtId="0" fontId="4" fillId="3" borderId="1" xfId="0" applyFont="1" applyFill="1" applyBorder="1" applyAlignment="1">
      <alignment horizontal="left" vertical="center" wrapText="1"/>
    </xf>
    <xf numFmtId="0" fontId="0" fillId="3" borderId="1" xfId="0" applyFill="1" applyBorder="1" applyAlignment="1">
      <alignment horizontal="left" vertical="center" wrapText="1"/>
    </xf>
    <xf numFmtId="0" fontId="2" fillId="3" borderId="1" xfId="253" applyFill="1" applyBorder="1" applyAlignment="1">
      <alignment horizontal="left" vertical="center" wrapText="1"/>
    </xf>
    <xf numFmtId="0" fontId="14" fillId="3" borderId="1" xfId="0" applyFont="1" applyFill="1" applyBorder="1" applyAlignment="1">
      <alignment horizontal="left" vertical="center" wrapText="1"/>
    </xf>
    <xf numFmtId="0" fontId="15" fillId="3" borderId="1" xfId="0" applyFont="1" applyFill="1" applyBorder="1" applyAlignment="1">
      <alignment horizontal="left" vertical="center" wrapText="1"/>
    </xf>
    <xf numFmtId="176" fontId="4" fillId="0" borderId="1" xfId="0" applyNumberFormat="1" applyFont="1" applyBorder="1" applyAlignment="1">
      <alignment horizontal="left" vertical="center" wrapText="1"/>
    </xf>
    <xf numFmtId="49" fontId="4" fillId="0" borderId="1" xfId="0" applyNumberFormat="1" applyFont="1" applyBorder="1" applyAlignment="1">
      <alignment horizontal="left" vertical="center" wrapText="1"/>
    </xf>
    <xf numFmtId="176" fontId="0" fillId="0" borderId="1" xfId="0" applyNumberFormat="1" applyFont="1" applyBorder="1" applyAlignment="1">
      <alignment horizontal="left" vertical="center" wrapText="1"/>
    </xf>
    <xf numFmtId="176" fontId="0" fillId="0" borderId="1" xfId="0" applyNumberFormat="1" applyBorder="1" applyAlignment="1">
      <alignment horizontal="left" vertical="center" wrapText="1"/>
    </xf>
    <xf numFmtId="176" fontId="0" fillId="2" borderId="1" xfId="0" applyNumberFormat="1" applyFill="1" applyBorder="1" applyAlignment="1">
      <alignment horizontal="left" vertical="center" wrapText="1"/>
    </xf>
    <xf numFmtId="176" fontId="0" fillId="0" borderId="1" xfId="0" applyNumberFormat="1" applyFill="1" applyBorder="1" applyAlignment="1">
      <alignment horizontal="left" vertical="center" wrapText="1"/>
    </xf>
    <xf numFmtId="0" fontId="4" fillId="0" borderId="1" xfId="0" applyFont="1" applyBorder="1" applyAlignment="1">
      <alignment horizontal="left" vertical="center" wrapText="1"/>
    </xf>
    <xf numFmtId="49" fontId="0" fillId="0" borderId="1" xfId="0" applyNumberFormat="1" applyBorder="1" applyAlignment="1">
      <alignment horizontal="left" vertical="center" wrapText="1"/>
    </xf>
    <xf numFmtId="176" fontId="2" fillId="0" borderId="1" xfId="253" applyNumberFormat="1" applyBorder="1" applyAlignment="1">
      <alignment horizontal="left" vertical="center" wrapText="1"/>
    </xf>
    <xf numFmtId="176" fontId="0" fillId="3" borderId="1" xfId="0" applyNumberFormat="1" applyFill="1" applyBorder="1" applyAlignment="1">
      <alignment horizontal="left" vertical="center" wrapText="1"/>
    </xf>
    <xf numFmtId="176" fontId="0" fillId="3" borderId="0" xfId="0" applyNumberFormat="1" applyFill="1" applyAlignment="1">
      <alignment horizontal="left" vertical="center" wrapText="1"/>
    </xf>
    <xf numFmtId="0" fontId="5" fillId="3" borderId="1" xfId="0" applyFont="1" applyFill="1" applyBorder="1" applyAlignment="1">
      <alignment horizontal="left" vertical="center" wrapText="1"/>
    </xf>
    <xf numFmtId="0" fontId="6" fillId="3"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8" fillId="3" borderId="1" xfId="0" applyFont="1" applyFill="1" applyBorder="1" applyAlignment="1">
      <alignment horizontal="left" vertical="center" wrapText="1"/>
    </xf>
    <xf numFmtId="0" fontId="9" fillId="3" borderId="1" xfId="0" applyFont="1" applyFill="1" applyBorder="1" applyAlignment="1">
      <alignment horizontal="left" vertical="center" wrapText="1"/>
    </xf>
    <xf numFmtId="0" fontId="10" fillId="3" borderId="1" xfId="0" applyFont="1" applyFill="1" applyBorder="1" applyAlignment="1">
      <alignment horizontal="left" vertical="center" wrapText="1"/>
    </xf>
    <xf numFmtId="176" fontId="4" fillId="3" borderId="1" xfId="0" applyNumberFormat="1" applyFont="1" applyFill="1" applyBorder="1" applyAlignment="1">
      <alignment horizontal="left" vertical="center" wrapText="1"/>
    </xf>
    <xf numFmtId="0" fontId="11" fillId="3" borderId="1" xfId="0" applyFont="1" applyFill="1" applyBorder="1" applyAlignment="1">
      <alignment horizontal="left" vertical="center" wrapText="1"/>
    </xf>
    <xf numFmtId="0" fontId="12" fillId="3" borderId="1" xfId="0" applyFont="1" applyFill="1" applyBorder="1" applyAlignment="1">
      <alignment horizontal="left" vertical="center" wrapText="1"/>
    </xf>
    <xf numFmtId="0" fontId="13" fillId="3" borderId="1" xfId="0" applyFont="1" applyFill="1" applyBorder="1" applyAlignment="1">
      <alignment horizontal="left" vertical="center" wrapText="1"/>
    </xf>
    <xf numFmtId="0" fontId="0" fillId="4" borderId="1" xfId="0" applyFill="1" applyBorder="1" applyAlignment="1">
      <alignment horizontal="left" vertical="center" wrapText="1"/>
    </xf>
    <xf numFmtId="1" fontId="4" fillId="0" borderId="1" xfId="0" applyNumberFormat="1" applyFont="1" applyBorder="1" applyAlignment="1">
      <alignment horizontal="left" vertical="center" wrapText="1"/>
    </xf>
    <xf numFmtId="1" fontId="0" fillId="0" borderId="0" xfId="0" applyNumberFormat="1" applyAlignment="1">
      <alignment horizontal="left" vertical="center" wrapText="1"/>
    </xf>
    <xf numFmtId="1" fontId="0" fillId="3" borderId="0" xfId="0" applyNumberFormat="1" applyFill="1" applyAlignment="1">
      <alignment horizontal="left" vertical="center" wrapText="1"/>
    </xf>
    <xf numFmtId="0" fontId="16" fillId="0" borderId="0" xfId="0" applyFont="1"/>
    <xf numFmtId="1" fontId="16" fillId="0" borderId="0" xfId="0" applyNumberFormat="1" applyFont="1"/>
    <xf numFmtId="0" fontId="16" fillId="5" borderId="0" xfId="0" applyFont="1" applyFill="1"/>
    <xf numFmtId="1" fontId="16" fillId="5" borderId="0" xfId="0" applyNumberFormat="1" applyFont="1" applyFill="1"/>
    <xf numFmtId="2" fontId="16" fillId="0" borderId="0" xfId="0" applyNumberFormat="1" applyFont="1"/>
  </cellXfs>
  <cellStyles count="415">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253" builtinId="8"/>
    <cellStyle name="標準" xfId="0" builtinId="0"/>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3" builtinId="9" hidden="1"/>
    <cellStyle name="表示済みのハイパーリンク" xfId="34" builtinId="9" hidden="1"/>
    <cellStyle name="表示済みのハイパーリンク" xfId="35" builtinId="9" hidden="1"/>
    <cellStyle name="表示済みのハイパーリンク" xfId="36" builtinId="9" hidden="1"/>
    <cellStyle name="表示済みのハイパーリンク" xfId="37" builtinId="9" hidden="1"/>
    <cellStyle name="表示済みのハイパーリンク" xfId="38" builtinId="9" hidden="1"/>
    <cellStyle name="表示済みのハイパーリンク" xfId="39" builtinId="9" hidden="1"/>
    <cellStyle name="表示済みのハイパーリンク" xfId="40" builtinId="9" hidden="1"/>
    <cellStyle name="表示済みのハイパーリンク" xfId="41" builtinId="9" hidden="1"/>
    <cellStyle name="表示済みのハイパーリンク" xfId="42" builtinId="9" hidden="1"/>
    <cellStyle name="表示済みのハイパーリンク" xfId="43" builtinId="9" hidden="1"/>
    <cellStyle name="表示済みのハイパーリンク" xfId="44" builtinId="9" hidden="1"/>
    <cellStyle name="表示済みのハイパーリンク" xfId="45" builtinId="9" hidden="1"/>
    <cellStyle name="表示済みのハイパーリンク" xfId="46" builtinId="9" hidden="1"/>
    <cellStyle name="表示済みのハイパーリンク" xfId="47" builtinId="9" hidden="1"/>
    <cellStyle name="表示済みのハイパーリンク" xfId="48" builtinId="9" hidden="1"/>
    <cellStyle name="表示済みのハイパーリンク" xfId="49" builtinId="9" hidden="1"/>
    <cellStyle name="表示済みのハイパーリンク" xfId="50" builtinId="9" hidden="1"/>
    <cellStyle name="表示済みのハイパーリンク" xfId="51" builtinId="9" hidden="1"/>
    <cellStyle name="表示済みのハイパーリンク" xfId="52" builtinId="9" hidden="1"/>
    <cellStyle name="表示済みのハイパーリンク" xfId="53" builtinId="9" hidden="1"/>
    <cellStyle name="表示済みのハイパーリンク" xfId="54" builtinId="9" hidden="1"/>
    <cellStyle name="表示済みのハイパーリンク" xfId="55" builtinId="9" hidden="1"/>
    <cellStyle name="表示済みのハイパーリンク" xfId="56" builtinId="9" hidden="1"/>
    <cellStyle name="表示済みのハイパーリンク" xfId="57" builtinId="9" hidden="1"/>
    <cellStyle name="表示済みのハイパーリンク" xfId="58" builtinId="9" hidden="1"/>
    <cellStyle name="表示済みのハイパーリンク" xfId="59" builtinId="9" hidden="1"/>
    <cellStyle name="表示済みのハイパーリンク" xfId="60" builtinId="9" hidden="1"/>
    <cellStyle name="表示済みのハイパーリンク" xfId="61" builtinId="9" hidden="1"/>
    <cellStyle name="表示済みのハイパーリンク" xfId="62" builtinId="9" hidden="1"/>
    <cellStyle name="表示済みのハイパーリンク" xfId="63" builtinId="9" hidden="1"/>
    <cellStyle name="表示済みのハイパーリンク" xfId="64" builtinId="9" hidden="1"/>
    <cellStyle name="表示済みのハイパーリンク" xfId="65" builtinId="9" hidden="1"/>
    <cellStyle name="表示済みのハイパーリンク" xfId="66" builtinId="9" hidden="1"/>
    <cellStyle name="表示済みのハイパーリンク" xfId="67" builtinId="9" hidden="1"/>
    <cellStyle name="表示済みのハイパーリンク" xfId="68" builtinId="9" hidden="1"/>
    <cellStyle name="表示済みのハイパーリンク" xfId="69" builtinId="9" hidden="1"/>
    <cellStyle name="表示済みのハイパーリンク" xfId="70" builtinId="9" hidden="1"/>
    <cellStyle name="表示済みのハイパーリンク" xfId="71" builtinId="9" hidden="1"/>
    <cellStyle name="表示済みのハイパーリンク" xfId="72" builtinId="9" hidden="1"/>
    <cellStyle name="表示済みのハイパーリンク" xfId="73" builtinId="9" hidden="1"/>
    <cellStyle name="表示済みのハイパーリンク" xfId="74" builtinId="9" hidden="1"/>
    <cellStyle name="表示済みのハイパーリンク" xfId="75" builtinId="9" hidden="1"/>
    <cellStyle name="表示済みのハイパーリンク" xfId="76" builtinId="9" hidden="1"/>
    <cellStyle name="表示済みのハイパーリンク" xfId="77" builtinId="9" hidden="1"/>
    <cellStyle name="表示済みのハイパーリンク" xfId="78" builtinId="9" hidden="1"/>
    <cellStyle name="表示済みのハイパーリンク" xfId="79" builtinId="9" hidden="1"/>
    <cellStyle name="表示済みのハイパーリンク" xfId="80" builtinId="9" hidden="1"/>
    <cellStyle name="表示済みのハイパーリンク" xfId="81" builtinId="9" hidden="1"/>
    <cellStyle name="表示済みのハイパーリンク" xfId="82" builtinId="9" hidden="1"/>
    <cellStyle name="表示済みのハイパーリンク" xfId="83" builtinId="9" hidden="1"/>
    <cellStyle name="表示済みのハイパーリンク" xfId="84" builtinId="9" hidden="1"/>
    <cellStyle name="表示済みのハイパーリンク" xfId="85" builtinId="9" hidden="1"/>
    <cellStyle name="表示済みのハイパーリンク" xfId="86" builtinId="9" hidden="1"/>
    <cellStyle name="表示済みのハイパーリンク" xfId="87" builtinId="9" hidden="1"/>
    <cellStyle name="表示済みのハイパーリンク" xfId="88" builtinId="9" hidden="1"/>
    <cellStyle name="表示済みのハイパーリンク" xfId="89" builtinId="9" hidden="1"/>
    <cellStyle name="表示済みのハイパーリンク" xfId="90" builtinId="9" hidden="1"/>
    <cellStyle name="表示済みのハイパーリンク" xfId="91" builtinId="9" hidden="1"/>
    <cellStyle name="表示済みのハイパーリンク" xfId="92" builtinId="9" hidden="1"/>
    <cellStyle name="表示済みのハイパーリンク" xfId="93" builtinId="9" hidden="1"/>
    <cellStyle name="表示済みのハイパーリンク" xfId="94" builtinId="9" hidden="1"/>
    <cellStyle name="表示済みのハイパーリンク" xfId="95" builtinId="9" hidden="1"/>
    <cellStyle name="表示済みのハイパーリンク" xfId="96" builtinId="9" hidden="1"/>
    <cellStyle name="表示済みのハイパーリンク" xfId="97" builtinId="9" hidden="1"/>
    <cellStyle name="表示済みのハイパーリンク" xfId="98" builtinId="9" hidden="1"/>
    <cellStyle name="表示済みのハイパーリンク" xfId="99" builtinId="9" hidden="1"/>
    <cellStyle name="表示済みのハイパーリンク" xfId="100" builtinId="9" hidden="1"/>
    <cellStyle name="表示済みのハイパーリンク" xfId="101" builtinId="9" hidden="1"/>
    <cellStyle name="表示済みのハイパーリンク" xfId="102" builtinId="9" hidden="1"/>
    <cellStyle name="表示済みのハイパーリンク" xfId="103" builtinId="9" hidden="1"/>
    <cellStyle name="表示済みのハイパーリンク" xfId="104" builtinId="9" hidden="1"/>
    <cellStyle name="表示済みのハイパーリンク" xfId="105" builtinId="9" hidden="1"/>
    <cellStyle name="表示済みのハイパーリンク" xfId="106" builtinId="9" hidden="1"/>
    <cellStyle name="表示済みのハイパーリンク" xfId="107" builtinId="9" hidden="1"/>
    <cellStyle name="表示済みのハイパーリンク" xfId="108" builtinId="9" hidden="1"/>
    <cellStyle name="表示済みのハイパーリンク" xfId="109" builtinId="9" hidden="1"/>
    <cellStyle name="表示済みのハイパーリンク" xfId="110" builtinId="9" hidden="1"/>
    <cellStyle name="表示済みのハイパーリンク" xfId="111" builtinId="9" hidden="1"/>
    <cellStyle name="表示済みのハイパーリンク" xfId="112" builtinId="9" hidden="1"/>
    <cellStyle name="表示済みのハイパーリンク" xfId="113" builtinId="9" hidden="1"/>
    <cellStyle name="表示済みのハイパーリンク" xfId="114" builtinId="9" hidden="1"/>
    <cellStyle name="表示済みのハイパーリンク" xfId="115" builtinId="9" hidden="1"/>
    <cellStyle name="表示済みのハイパーリンク" xfId="116" builtinId="9" hidden="1"/>
    <cellStyle name="表示済みのハイパーリンク" xfId="117" builtinId="9" hidden="1"/>
    <cellStyle name="表示済みのハイパーリンク" xfId="118" builtinId="9" hidden="1"/>
    <cellStyle name="表示済みのハイパーリンク" xfId="119" builtinId="9" hidden="1"/>
    <cellStyle name="表示済みのハイパーリンク" xfId="120" builtinId="9" hidden="1"/>
    <cellStyle name="表示済みのハイパーリンク" xfId="121" builtinId="9" hidden="1"/>
    <cellStyle name="表示済みのハイパーリンク" xfId="122" builtinId="9" hidden="1"/>
    <cellStyle name="表示済みのハイパーリンク" xfId="123" builtinId="9" hidden="1"/>
    <cellStyle name="表示済みのハイパーリンク" xfId="124" builtinId="9" hidden="1"/>
    <cellStyle name="表示済みのハイパーリンク" xfId="125" builtinId="9" hidden="1"/>
    <cellStyle name="表示済みのハイパーリンク" xfId="126" builtinId="9" hidden="1"/>
    <cellStyle name="表示済みのハイパーリンク" xfId="127" builtinId="9" hidden="1"/>
    <cellStyle name="表示済みのハイパーリンク" xfId="128" builtinId="9" hidden="1"/>
    <cellStyle name="表示済みのハイパーリンク" xfId="129" builtinId="9" hidden="1"/>
    <cellStyle name="表示済みのハイパーリンク" xfId="130" builtinId="9" hidden="1"/>
    <cellStyle name="表示済みのハイパーリンク" xfId="131" builtinId="9" hidden="1"/>
    <cellStyle name="表示済みのハイパーリンク" xfId="132" builtinId="9" hidden="1"/>
    <cellStyle name="表示済みのハイパーリンク" xfId="133" builtinId="9" hidden="1"/>
    <cellStyle name="表示済みのハイパーリンク" xfId="134" builtinId="9" hidden="1"/>
    <cellStyle name="表示済みのハイパーリンク" xfId="135" builtinId="9" hidden="1"/>
    <cellStyle name="表示済みのハイパーリンク" xfId="136" builtinId="9" hidden="1"/>
    <cellStyle name="表示済みのハイパーリンク" xfId="137" builtinId="9" hidden="1"/>
    <cellStyle name="表示済みのハイパーリンク" xfId="138" builtinId="9" hidden="1"/>
    <cellStyle name="表示済みのハイパーリンク" xfId="139" builtinId="9" hidden="1"/>
    <cellStyle name="表示済みのハイパーリンク" xfId="140" builtinId="9" hidden="1"/>
    <cellStyle name="表示済みのハイパーリンク" xfId="141" builtinId="9" hidden="1"/>
    <cellStyle name="表示済みのハイパーリンク" xfId="142" builtinId="9" hidden="1"/>
    <cellStyle name="表示済みのハイパーリンク" xfId="143" builtinId="9" hidden="1"/>
    <cellStyle name="表示済みのハイパーリンク" xfId="144" builtinId="9" hidden="1"/>
    <cellStyle name="表示済みのハイパーリンク" xfId="145" builtinId="9" hidden="1"/>
    <cellStyle name="表示済みのハイパーリンク" xfId="146" builtinId="9" hidden="1"/>
    <cellStyle name="表示済みのハイパーリンク" xfId="147" builtinId="9" hidden="1"/>
    <cellStyle name="表示済みのハイパーリンク" xfId="148" builtinId="9" hidden="1"/>
    <cellStyle name="表示済みのハイパーリンク" xfId="149" builtinId="9" hidden="1"/>
    <cellStyle name="表示済みのハイパーリンク" xfId="150" builtinId="9" hidden="1"/>
    <cellStyle name="表示済みのハイパーリンク" xfId="151" builtinId="9" hidden="1"/>
    <cellStyle name="表示済みのハイパーリンク" xfId="152" builtinId="9" hidden="1"/>
    <cellStyle name="表示済みのハイパーリンク" xfId="153" builtinId="9" hidden="1"/>
    <cellStyle name="表示済みのハイパーリンク" xfId="154" builtinId="9" hidden="1"/>
    <cellStyle name="表示済みのハイパーリンク" xfId="155" builtinId="9" hidden="1"/>
    <cellStyle name="表示済みのハイパーリンク" xfId="156" builtinId="9" hidden="1"/>
    <cellStyle name="表示済みのハイパーリンク" xfId="157" builtinId="9" hidden="1"/>
    <cellStyle name="表示済みのハイパーリンク" xfId="158" builtinId="9" hidden="1"/>
    <cellStyle name="表示済みのハイパーリンク" xfId="159" builtinId="9" hidden="1"/>
    <cellStyle name="表示済みのハイパーリンク" xfId="160" builtinId="9" hidden="1"/>
    <cellStyle name="表示済みのハイパーリンク" xfId="161" builtinId="9" hidden="1"/>
    <cellStyle name="表示済みのハイパーリンク" xfId="162" builtinId="9" hidden="1"/>
    <cellStyle name="表示済みのハイパーリンク" xfId="163" builtinId="9" hidden="1"/>
    <cellStyle name="表示済みのハイパーリンク" xfId="164" builtinId="9" hidden="1"/>
    <cellStyle name="表示済みのハイパーリンク" xfId="165" builtinId="9" hidden="1"/>
    <cellStyle name="表示済みのハイパーリンク" xfId="166" builtinId="9" hidden="1"/>
    <cellStyle name="表示済みのハイパーリンク" xfId="167" builtinId="9" hidden="1"/>
    <cellStyle name="表示済みのハイパーリンク" xfId="168" builtinId="9" hidden="1"/>
    <cellStyle name="表示済みのハイパーリンク" xfId="169" builtinId="9" hidden="1"/>
    <cellStyle name="表示済みのハイパーリンク" xfId="170" builtinId="9" hidden="1"/>
    <cellStyle name="表示済みのハイパーリンク" xfId="171" builtinId="9" hidden="1"/>
    <cellStyle name="表示済みのハイパーリンク" xfId="172" builtinId="9" hidden="1"/>
    <cellStyle name="表示済みのハイパーリンク" xfId="173" builtinId="9" hidden="1"/>
    <cellStyle name="表示済みのハイパーリンク" xfId="174" builtinId="9" hidden="1"/>
    <cellStyle name="表示済みのハイパーリンク" xfId="175" builtinId="9" hidden="1"/>
    <cellStyle name="表示済みのハイパーリンク" xfId="176" builtinId="9" hidden="1"/>
    <cellStyle name="表示済みのハイパーリンク" xfId="177" builtinId="9" hidden="1"/>
    <cellStyle name="表示済みのハイパーリンク" xfId="178" builtinId="9" hidden="1"/>
    <cellStyle name="表示済みのハイパーリンク" xfId="179" builtinId="9" hidden="1"/>
    <cellStyle name="表示済みのハイパーリンク" xfId="180" builtinId="9" hidden="1"/>
    <cellStyle name="表示済みのハイパーリンク" xfId="181" builtinId="9" hidden="1"/>
    <cellStyle name="表示済みのハイパーリンク" xfId="182" builtinId="9" hidden="1"/>
    <cellStyle name="表示済みのハイパーリンク" xfId="183" builtinId="9" hidden="1"/>
    <cellStyle name="表示済みのハイパーリンク" xfId="184" builtinId="9" hidden="1"/>
    <cellStyle name="表示済みのハイパーリンク" xfId="185" builtinId="9" hidden="1"/>
    <cellStyle name="表示済みのハイパーリンク" xfId="186" builtinId="9" hidden="1"/>
    <cellStyle name="表示済みのハイパーリンク" xfId="187" builtinId="9" hidden="1"/>
    <cellStyle name="表示済みのハイパーリンク" xfId="188" builtinId="9" hidden="1"/>
    <cellStyle name="表示済みのハイパーリンク" xfId="189" builtinId="9" hidden="1"/>
    <cellStyle name="表示済みのハイパーリンク" xfId="190" builtinId="9" hidden="1"/>
    <cellStyle name="表示済みのハイパーリンク" xfId="191" builtinId="9" hidden="1"/>
    <cellStyle name="表示済みのハイパーリンク" xfId="192" builtinId="9" hidden="1"/>
    <cellStyle name="表示済みのハイパーリンク" xfId="193" builtinId="9" hidden="1"/>
    <cellStyle name="表示済みのハイパーリンク" xfId="194" builtinId="9" hidden="1"/>
    <cellStyle name="表示済みのハイパーリンク" xfId="195" builtinId="9" hidden="1"/>
    <cellStyle name="表示済みのハイパーリンク" xfId="196" builtinId="9" hidden="1"/>
    <cellStyle name="表示済みのハイパーリンク" xfId="197" builtinId="9" hidden="1"/>
    <cellStyle name="表示済みのハイパーリンク" xfId="198" builtinId="9" hidden="1"/>
    <cellStyle name="表示済みのハイパーリンク" xfId="199" builtinId="9" hidden="1"/>
    <cellStyle name="表示済みのハイパーリンク" xfId="200" builtinId="9" hidden="1"/>
    <cellStyle name="表示済みのハイパーリンク" xfId="201" builtinId="9" hidden="1"/>
    <cellStyle name="表示済みのハイパーリンク" xfId="202" builtinId="9" hidden="1"/>
    <cellStyle name="表示済みのハイパーリンク" xfId="203" builtinId="9" hidden="1"/>
    <cellStyle name="表示済みのハイパーリンク" xfId="204" builtinId="9" hidden="1"/>
    <cellStyle name="表示済みのハイパーリンク" xfId="205" builtinId="9" hidden="1"/>
    <cellStyle name="表示済みのハイパーリンク" xfId="206" builtinId="9" hidden="1"/>
    <cellStyle name="表示済みのハイパーリンク" xfId="207" builtinId="9" hidden="1"/>
    <cellStyle name="表示済みのハイパーリンク" xfId="208" builtinId="9" hidden="1"/>
    <cellStyle name="表示済みのハイパーリンク" xfId="209" builtinId="9" hidden="1"/>
    <cellStyle name="表示済みのハイパーリンク" xfId="210" builtinId="9" hidden="1"/>
    <cellStyle name="表示済みのハイパーリンク" xfId="211" builtinId="9" hidden="1"/>
    <cellStyle name="表示済みのハイパーリンク" xfId="212" builtinId="9" hidden="1"/>
    <cellStyle name="表示済みのハイパーリンク" xfId="213" builtinId="9" hidden="1"/>
    <cellStyle name="表示済みのハイパーリンク" xfId="214" builtinId="9" hidden="1"/>
    <cellStyle name="表示済みのハイパーリンク" xfId="215" builtinId="9" hidden="1"/>
    <cellStyle name="表示済みのハイパーリンク" xfId="216" builtinId="9" hidden="1"/>
    <cellStyle name="表示済みのハイパーリンク" xfId="217" builtinId="9" hidden="1"/>
    <cellStyle name="表示済みのハイパーリンク" xfId="218" builtinId="9" hidden="1"/>
    <cellStyle name="表示済みのハイパーリンク" xfId="219" builtinId="9" hidden="1"/>
    <cellStyle name="表示済みのハイパーリンク" xfId="220" builtinId="9" hidden="1"/>
    <cellStyle name="表示済みのハイパーリンク" xfId="221" builtinId="9" hidden="1"/>
    <cellStyle name="表示済みのハイパーリンク" xfId="222" builtinId="9" hidden="1"/>
    <cellStyle name="表示済みのハイパーリンク" xfId="223" builtinId="9" hidden="1"/>
    <cellStyle name="表示済みのハイパーリンク" xfId="224" builtinId="9" hidden="1"/>
    <cellStyle name="表示済みのハイパーリンク" xfId="225" builtinId="9" hidden="1"/>
    <cellStyle name="表示済みのハイパーリンク" xfId="226" builtinId="9" hidden="1"/>
    <cellStyle name="表示済みのハイパーリンク" xfId="227" builtinId="9" hidden="1"/>
    <cellStyle name="表示済みのハイパーリンク" xfId="228" builtinId="9" hidden="1"/>
    <cellStyle name="表示済みのハイパーリンク" xfId="229" builtinId="9" hidden="1"/>
    <cellStyle name="表示済みのハイパーリンク" xfId="230" builtinId="9" hidden="1"/>
    <cellStyle name="表示済みのハイパーリンク" xfId="231" builtinId="9" hidden="1"/>
    <cellStyle name="表示済みのハイパーリンク" xfId="232" builtinId="9" hidden="1"/>
    <cellStyle name="表示済みのハイパーリンク" xfId="233" builtinId="9" hidden="1"/>
    <cellStyle name="表示済みのハイパーリンク" xfId="234" builtinId="9" hidden="1"/>
    <cellStyle name="表示済みのハイパーリンク" xfId="235" builtinId="9" hidden="1"/>
    <cellStyle name="表示済みのハイパーリンク" xfId="236" builtinId="9" hidden="1"/>
    <cellStyle name="表示済みのハイパーリンク" xfId="237" builtinId="9" hidden="1"/>
    <cellStyle name="表示済みのハイパーリンク" xfId="238" builtinId="9" hidden="1"/>
    <cellStyle name="表示済みのハイパーリンク" xfId="239" builtinId="9" hidden="1"/>
    <cellStyle name="表示済みのハイパーリンク" xfId="240" builtinId="9" hidden="1"/>
    <cellStyle name="表示済みのハイパーリンク" xfId="241" builtinId="9" hidden="1"/>
    <cellStyle name="表示済みのハイパーリンク" xfId="242" builtinId="9" hidden="1"/>
    <cellStyle name="表示済みのハイパーリンク" xfId="243" builtinId="9" hidden="1"/>
    <cellStyle name="表示済みのハイパーリンク" xfId="244" builtinId="9" hidden="1"/>
    <cellStyle name="表示済みのハイパーリンク" xfId="245" builtinId="9" hidden="1"/>
    <cellStyle name="表示済みのハイパーリンク" xfId="246" builtinId="9" hidden="1"/>
    <cellStyle name="表示済みのハイパーリンク" xfId="247" builtinId="9" hidden="1"/>
    <cellStyle name="表示済みのハイパーリンク" xfId="248" builtinId="9" hidden="1"/>
    <cellStyle name="表示済みのハイパーリンク" xfId="249" builtinId="9" hidden="1"/>
    <cellStyle name="表示済みのハイパーリンク" xfId="250" builtinId="9" hidden="1"/>
    <cellStyle name="表示済みのハイパーリンク" xfId="251" builtinId="9" hidden="1"/>
    <cellStyle name="表示済みのハイパーリンク" xfId="252" builtinId="9" hidden="1"/>
    <cellStyle name="表示済みのハイパーリンク" xfId="254" builtinId="9" hidden="1"/>
    <cellStyle name="表示済みのハイパーリンク" xfId="255" builtinId="9" hidden="1"/>
    <cellStyle name="表示済みのハイパーリンク" xfId="256" builtinId="9" hidden="1"/>
    <cellStyle name="表示済みのハイパーリンク" xfId="257" builtinId="9" hidden="1"/>
    <cellStyle name="表示済みのハイパーリンク" xfId="258" builtinId="9" hidden="1"/>
    <cellStyle name="表示済みのハイパーリンク" xfId="259" builtinId="9" hidden="1"/>
    <cellStyle name="表示済みのハイパーリンク" xfId="260" builtinId="9" hidden="1"/>
    <cellStyle name="表示済みのハイパーリンク" xfId="261" builtinId="9" hidden="1"/>
    <cellStyle name="表示済みのハイパーリンク" xfId="262" builtinId="9" hidden="1"/>
    <cellStyle name="表示済みのハイパーリンク" xfId="263" builtinId="9" hidden="1"/>
    <cellStyle name="表示済みのハイパーリンク" xfId="264" builtinId="9" hidden="1"/>
    <cellStyle name="表示済みのハイパーリンク" xfId="265" builtinId="9" hidden="1"/>
    <cellStyle name="表示済みのハイパーリンク" xfId="266" builtinId="9" hidden="1"/>
    <cellStyle name="表示済みのハイパーリンク" xfId="267" builtinId="9" hidden="1"/>
    <cellStyle name="表示済みのハイパーリンク" xfId="268" builtinId="9" hidden="1"/>
    <cellStyle name="表示済みのハイパーリンク" xfId="269" builtinId="9" hidden="1"/>
    <cellStyle name="表示済みのハイパーリンク" xfId="270" builtinId="9" hidden="1"/>
    <cellStyle name="表示済みのハイパーリンク" xfId="271" builtinId="9" hidden="1"/>
    <cellStyle name="表示済みのハイパーリンク" xfId="272" builtinId="9" hidden="1"/>
    <cellStyle name="表示済みのハイパーリンク" xfId="273" builtinId="9" hidden="1"/>
    <cellStyle name="表示済みのハイパーリンク" xfId="274" builtinId="9" hidden="1"/>
    <cellStyle name="表示済みのハイパーリンク" xfId="275" builtinId="9" hidden="1"/>
    <cellStyle name="表示済みのハイパーリンク" xfId="276" builtinId="9" hidden="1"/>
    <cellStyle name="表示済みのハイパーリンク" xfId="277" builtinId="9" hidden="1"/>
    <cellStyle name="表示済みのハイパーリンク" xfId="278" builtinId="9" hidden="1"/>
    <cellStyle name="表示済みのハイパーリンク" xfId="279" builtinId="9" hidden="1"/>
    <cellStyle name="表示済みのハイパーリンク" xfId="280" builtinId="9" hidden="1"/>
    <cellStyle name="表示済みのハイパーリンク" xfId="281" builtinId="9" hidden="1"/>
    <cellStyle name="表示済みのハイパーリンク" xfId="282" builtinId="9" hidden="1"/>
    <cellStyle name="表示済みのハイパーリンク" xfId="283" builtinId="9" hidden="1"/>
    <cellStyle name="表示済みのハイパーリンク" xfId="284" builtinId="9" hidden="1"/>
    <cellStyle name="表示済みのハイパーリンク" xfId="285" builtinId="9" hidden="1"/>
    <cellStyle name="表示済みのハイパーリンク" xfId="286" builtinId="9" hidden="1"/>
    <cellStyle name="表示済みのハイパーリンク" xfId="287" builtinId="9" hidden="1"/>
    <cellStyle name="表示済みのハイパーリンク" xfId="288" builtinId="9" hidden="1"/>
    <cellStyle name="表示済みのハイパーリンク" xfId="289" builtinId="9" hidden="1"/>
    <cellStyle name="表示済みのハイパーリンク" xfId="290" builtinId="9" hidden="1"/>
    <cellStyle name="表示済みのハイパーリンク" xfId="291" builtinId="9" hidden="1"/>
    <cellStyle name="表示済みのハイパーリンク" xfId="292" builtinId="9" hidden="1"/>
    <cellStyle name="表示済みのハイパーリンク" xfId="293" builtinId="9" hidden="1"/>
    <cellStyle name="表示済みのハイパーリンク" xfId="294" builtinId="9" hidden="1"/>
    <cellStyle name="表示済みのハイパーリンク" xfId="295" builtinId="9" hidden="1"/>
    <cellStyle name="表示済みのハイパーリンク" xfId="296" builtinId="9" hidden="1"/>
    <cellStyle name="表示済みのハイパーリンク" xfId="297" builtinId="9" hidden="1"/>
    <cellStyle name="表示済みのハイパーリンク" xfId="298" builtinId="9" hidden="1"/>
    <cellStyle name="表示済みのハイパーリンク" xfId="299" builtinId="9" hidden="1"/>
    <cellStyle name="表示済みのハイパーリンク" xfId="300" builtinId="9" hidden="1"/>
    <cellStyle name="表示済みのハイパーリンク" xfId="301" builtinId="9" hidden="1"/>
    <cellStyle name="表示済みのハイパーリンク" xfId="302" builtinId="9" hidden="1"/>
    <cellStyle name="表示済みのハイパーリンク" xfId="303" builtinId="9" hidden="1"/>
    <cellStyle name="表示済みのハイパーリンク" xfId="304" builtinId="9" hidden="1"/>
    <cellStyle name="表示済みのハイパーリンク" xfId="305" builtinId="9" hidden="1"/>
    <cellStyle name="表示済みのハイパーリンク" xfId="306" builtinId="9" hidden="1"/>
    <cellStyle name="表示済みのハイパーリンク" xfId="307" builtinId="9" hidden="1"/>
    <cellStyle name="表示済みのハイパーリンク" xfId="308" builtinId="9" hidden="1"/>
    <cellStyle name="表示済みのハイパーリンク" xfId="309" builtinId="9" hidden="1"/>
    <cellStyle name="表示済みのハイパーリンク" xfId="310" builtinId="9" hidden="1"/>
    <cellStyle name="表示済みのハイパーリンク" xfId="311" builtinId="9" hidden="1"/>
    <cellStyle name="表示済みのハイパーリンク" xfId="312" builtinId="9" hidden="1"/>
    <cellStyle name="表示済みのハイパーリンク" xfId="313" builtinId="9" hidden="1"/>
    <cellStyle name="表示済みのハイパーリンク" xfId="314" builtinId="9" hidden="1"/>
    <cellStyle name="表示済みのハイパーリンク" xfId="315" builtinId="9" hidden="1"/>
    <cellStyle name="表示済みのハイパーリンク" xfId="316" builtinId="9" hidden="1"/>
    <cellStyle name="表示済みのハイパーリンク" xfId="317" builtinId="9" hidden="1"/>
    <cellStyle name="表示済みのハイパーリンク" xfId="318" builtinId="9" hidden="1"/>
    <cellStyle name="表示済みのハイパーリンク" xfId="319" builtinId="9" hidden="1"/>
    <cellStyle name="表示済みのハイパーリンク" xfId="320" builtinId="9" hidden="1"/>
    <cellStyle name="表示済みのハイパーリンク" xfId="321" builtinId="9" hidden="1"/>
    <cellStyle name="表示済みのハイパーリンク" xfId="322" builtinId="9" hidden="1"/>
    <cellStyle name="表示済みのハイパーリンク" xfId="323" builtinId="9" hidden="1"/>
    <cellStyle name="表示済みのハイパーリンク" xfId="324" builtinId="9" hidden="1"/>
    <cellStyle name="表示済みのハイパーリンク" xfId="325" builtinId="9" hidden="1"/>
    <cellStyle name="表示済みのハイパーリンク" xfId="326" builtinId="9" hidden="1"/>
    <cellStyle name="表示済みのハイパーリンク" xfId="327" builtinId="9" hidden="1"/>
    <cellStyle name="表示済みのハイパーリンク" xfId="328" builtinId="9" hidden="1"/>
    <cellStyle name="表示済みのハイパーリンク" xfId="329" builtinId="9" hidden="1"/>
    <cellStyle name="表示済みのハイパーリンク" xfId="330" builtinId="9" hidden="1"/>
    <cellStyle name="表示済みのハイパーリンク" xfId="331" builtinId="9" hidden="1"/>
    <cellStyle name="表示済みのハイパーリンク" xfId="332" builtinId="9" hidden="1"/>
    <cellStyle name="表示済みのハイパーリンク" xfId="333" builtinId="9" hidden="1"/>
    <cellStyle name="表示済みのハイパーリンク" xfId="334" builtinId="9" hidden="1"/>
    <cellStyle name="表示済みのハイパーリンク" xfId="335" builtinId="9" hidden="1"/>
    <cellStyle name="表示済みのハイパーリンク" xfId="336" builtinId="9" hidden="1"/>
    <cellStyle name="表示済みのハイパーリンク" xfId="337" builtinId="9" hidden="1"/>
    <cellStyle name="表示済みのハイパーリンク" xfId="338" builtinId="9" hidden="1"/>
    <cellStyle name="表示済みのハイパーリンク" xfId="339" builtinId="9" hidden="1"/>
    <cellStyle name="表示済みのハイパーリンク" xfId="340" builtinId="9" hidden="1"/>
    <cellStyle name="表示済みのハイパーリンク" xfId="341" builtinId="9" hidden="1"/>
    <cellStyle name="表示済みのハイパーリンク" xfId="342" builtinId="9" hidden="1"/>
    <cellStyle name="表示済みのハイパーリンク" xfId="343" builtinId="9" hidden="1"/>
    <cellStyle name="表示済みのハイパーリンク" xfId="344" builtinId="9" hidden="1"/>
    <cellStyle name="表示済みのハイパーリンク" xfId="345" builtinId="9" hidden="1"/>
    <cellStyle name="表示済みのハイパーリンク" xfId="346" builtinId="9" hidden="1"/>
    <cellStyle name="表示済みのハイパーリンク" xfId="347" builtinId="9" hidden="1"/>
    <cellStyle name="表示済みのハイパーリンク" xfId="348" builtinId="9" hidden="1"/>
    <cellStyle name="表示済みのハイパーリンク" xfId="349" builtinId="9" hidden="1"/>
    <cellStyle name="表示済みのハイパーリンク" xfId="350" builtinId="9" hidden="1"/>
    <cellStyle name="表示済みのハイパーリンク" xfId="351" builtinId="9" hidden="1"/>
    <cellStyle name="表示済みのハイパーリンク" xfId="352" builtinId="9" hidden="1"/>
    <cellStyle name="表示済みのハイパーリンク" xfId="353" builtinId="9" hidden="1"/>
    <cellStyle name="表示済みのハイパーリンク" xfId="354" builtinId="9" hidden="1"/>
    <cellStyle name="表示済みのハイパーリンク" xfId="355" builtinId="9" hidden="1"/>
    <cellStyle name="表示済みのハイパーリンク" xfId="356" builtinId="9" hidden="1"/>
    <cellStyle name="表示済みのハイパーリンク" xfId="357" builtinId="9" hidden="1"/>
    <cellStyle name="表示済みのハイパーリンク" xfId="358" builtinId="9" hidden="1"/>
    <cellStyle name="表示済みのハイパーリンク" xfId="359" builtinId="9" hidden="1"/>
    <cellStyle name="表示済みのハイパーリンク" xfId="360" builtinId="9" hidden="1"/>
    <cellStyle name="表示済みのハイパーリンク" xfId="361" builtinId="9" hidden="1"/>
    <cellStyle name="表示済みのハイパーリンク" xfId="362" builtinId="9" hidden="1"/>
    <cellStyle name="表示済みのハイパーリンク" xfId="363" builtinId="9" hidden="1"/>
    <cellStyle name="表示済みのハイパーリンク" xfId="364" builtinId="9" hidden="1"/>
    <cellStyle name="表示済みのハイパーリンク" xfId="365" builtinId="9" hidden="1"/>
    <cellStyle name="表示済みのハイパーリンク" xfId="366" builtinId="9" hidden="1"/>
    <cellStyle name="表示済みのハイパーリンク" xfId="367" builtinId="9" hidden="1"/>
    <cellStyle name="表示済みのハイパーリンク" xfId="368" builtinId="9" hidden="1"/>
    <cellStyle name="表示済みのハイパーリンク" xfId="369" builtinId="9" hidden="1"/>
    <cellStyle name="表示済みのハイパーリンク" xfId="370" builtinId="9" hidden="1"/>
    <cellStyle name="表示済みのハイパーリンク" xfId="371" builtinId="9" hidden="1"/>
    <cellStyle name="表示済みのハイパーリンク" xfId="372" builtinId="9" hidden="1"/>
    <cellStyle name="表示済みのハイパーリンク" xfId="373" builtinId="9" hidden="1"/>
    <cellStyle name="表示済みのハイパーリンク" xfId="374" builtinId="9" hidden="1"/>
    <cellStyle name="表示済みのハイパーリンク" xfId="375" builtinId="9" hidden="1"/>
    <cellStyle name="表示済みのハイパーリンク" xfId="376" builtinId="9" hidden="1"/>
    <cellStyle name="表示済みのハイパーリンク" xfId="377" builtinId="9" hidden="1"/>
    <cellStyle name="表示済みのハイパーリンク" xfId="378" builtinId="9" hidden="1"/>
    <cellStyle name="表示済みのハイパーリンク" xfId="379" builtinId="9" hidden="1"/>
    <cellStyle name="表示済みのハイパーリンク" xfId="380" builtinId="9" hidden="1"/>
    <cellStyle name="表示済みのハイパーリンク" xfId="381" builtinId="9" hidden="1"/>
    <cellStyle name="表示済みのハイパーリンク" xfId="382" builtinId="9" hidden="1"/>
    <cellStyle name="表示済みのハイパーリンク" xfId="383" builtinId="9" hidden="1"/>
    <cellStyle name="表示済みのハイパーリンク" xfId="384" builtinId="9" hidden="1"/>
    <cellStyle name="表示済みのハイパーリンク" xfId="385" builtinId="9" hidden="1"/>
    <cellStyle name="表示済みのハイパーリンク" xfId="386" builtinId="9" hidden="1"/>
    <cellStyle name="表示済みのハイパーリンク" xfId="387" builtinId="9" hidden="1"/>
    <cellStyle name="表示済みのハイパーリンク" xfId="388" builtinId="9" hidden="1"/>
    <cellStyle name="表示済みのハイパーリンク" xfId="389" builtinId="9" hidden="1"/>
    <cellStyle name="表示済みのハイパーリンク" xfId="390" builtinId="9" hidden="1"/>
    <cellStyle name="表示済みのハイパーリンク" xfId="391" builtinId="9" hidden="1"/>
    <cellStyle name="表示済みのハイパーリンク" xfId="392" builtinId="9" hidden="1"/>
    <cellStyle name="表示済みのハイパーリンク" xfId="393" builtinId="9" hidden="1"/>
    <cellStyle name="表示済みのハイパーリンク" xfId="394" builtinId="9" hidden="1"/>
    <cellStyle name="表示済みのハイパーリンク" xfId="395" builtinId="9" hidden="1"/>
    <cellStyle name="表示済みのハイパーリンク" xfId="396" builtinId="9" hidden="1"/>
    <cellStyle name="表示済みのハイパーリンク" xfId="397" builtinId="9" hidden="1"/>
    <cellStyle name="表示済みのハイパーリンク" xfId="398" builtinId="9" hidden="1"/>
    <cellStyle name="表示済みのハイパーリンク" xfId="399" builtinId="9" hidden="1"/>
    <cellStyle name="表示済みのハイパーリンク" xfId="400" builtinId="9" hidden="1"/>
    <cellStyle name="表示済みのハイパーリンク" xfId="401" builtinId="9" hidden="1"/>
    <cellStyle name="表示済みのハイパーリンク" xfId="402" builtinId="9" hidden="1"/>
    <cellStyle name="表示済みのハイパーリンク" xfId="403" builtinId="9" hidden="1"/>
    <cellStyle name="表示済みのハイパーリンク" xfId="404" builtinId="9" hidden="1"/>
    <cellStyle name="表示済みのハイパーリンク" xfId="405" builtinId="9" hidden="1"/>
    <cellStyle name="表示済みのハイパーリンク" xfId="406" builtinId="9" hidden="1"/>
    <cellStyle name="表示済みのハイパーリンク" xfId="407" builtinId="9" hidden="1"/>
    <cellStyle name="表示済みのハイパーリンク" xfId="408" builtinId="9" hidden="1"/>
    <cellStyle name="表示済みのハイパーリンク" xfId="409" builtinId="9" hidden="1"/>
    <cellStyle name="表示済みのハイパーリンク" xfId="410" builtinId="9" hidden="1"/>
    <cellStyle name="表示済みのハイパーリンク" xfId="411" builtinId="9" hidden="1"/>
    <cellStyle name="表示済みのハイパーリンク" xfId="412" builtinId="9" hidden="1"/>
    <cellStyle name="表示済みのハイパーリンク" xfId="413" builtinId="9" hidden="1"/>
    <cellStyle name="表示済みのハイパーリンク" xfId="414" builtinId="9" hidden="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ホワイ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0" Type="http://schemas.openxmlformats.org/officeDocument/2006/relationships/hyperlink" Target="http://patiogranada.com/" TargetMode="External"/><Relationship Id="rId21" Type="http://schemas.openxmlformats.org/officeDocument/2006/relationships/hyperlink" Target="http://www.sm.rim.or.jp/~tkono/index22.htm" TargetMode="External"/><Relationship Id="rId22" Type="http://schemas.openxmlformats.org/officeDocument/2006/relationships/hyperlink" Target="http://www.gautingerhof.de/index.php/resevierung-ja.html" TargetMode="External"/><Relationship Id="rId23" Type="http://schemas.openxmlformats.org/officeDocument/2006/relationships/hyperlink" Target="http://www.gautingerhof.de/index.php/hotel-ja.html" TargetMode="External"/><Relationship Id="rId24" Type="http://schemas.openxmlformats.org/officeDocument/2006/relationships/hyperlink" Target="http://www.oakinn.com/dus/index.html" TargetMode="External"/><Relationship Id="rId25" Type="http://schemas.openxmlformats.org/officeDocument/2006/relationships/hyperlink" Target="http://www.oakinn.com/dus/index.html" TargetMode="External"/><Relationship Id="rId26" Type="http://schemas.openxmlformats.org/officeDocument/2006/relationships/hyperlink" Target="http://www.bellary.ch/indjp.php" TargetMode="External"/><Relationship Id="rId27" Type="http://schemas.openxmlformats.org/officeDocument/2006/relationships/hyperlink" Target="http://www.bellary.ch/inden.php" TargetMode="External"/><Relationship Id="rId28" Type="http://schemas.openxmlformats.org/officeDocument/2006/relationships/hyperlink" Target="http://www.hotel-hasenberg.ch/index.php?id=35&amp;L=3" TargetMode="External"/><Relationship Id="rId29" Type="http://schemas.openxmlformats.org/officeDocument/2006/relationships/hyperlink" Target="http://www.akiko.pl/?lang=ja" TargetMode="External"/><Relationship Id="rId1" Type="http://schemas.openxmlformats.org/officeDocument/2006/relationships/hyperlink" Target="http://www.theonehundred.com/request.htm" TargetMode="External"/><Relationship Id="rId2" Type="http://schemas.openxmlformats.org/officeDocument/2006/relationships/hyperlink" Target="https://mailform.mface.jp/frms/emiko/ox7r8sa20t6v" TargetMode="External"/><Relationship Id="rId3" Type="http://schemas.openxmlformats.org/officeDocument/2006/relationships/hyperlink" Target="http://www.sweetheartbb.com/toronto/contact/index.html" TargetMode="External"/><Relationship Id="rId4" Type="http://schemas.openxmlformats.org/officeDocument/2006/relationships/hyperlink" Target="http://www.bbaogaki.com/contact-us/" TargetMode="External"/><Relationship Id="rId5" Type="http://schemas.openxmlformats.org/officeDocument/2006/relationships/hyperlink" Target="http://marifieldhouse.com/japanese.html" TargetMode="External"/><Relationship Id="rId30" Type="http://schemas.openxmlformats.org/officeDocument/2006/relationships/hyperlink" Target="http://www.akiko.pl/?lang=ja" TargetMode="External"/><Relationship Id="rId31" Type="http://schemas.openxmlformats.org/officeDocument/2006/relationships/hyperlink" Target="http://sakuranbo-bp.com/reserve.html" TargetMode="External"/><Relationship Id="rId32" Type="http://schemas.openxmlformats.org/officeDocument/2006/relationships/hyperlink" Target="http://sakuranbo-bp.com/index.html" TargetMode="External"/><Relationship Id="rId9" Type="http://schemas.openxmlformats.org/officeDocument/2006/relationships/hyperlink" Target="http://www.monarchbandb.com/jp/contact/index.html" TargetMode="External"/><Relationship Id="rId6" Type="http://schemas.openxmlformats.org/officeDocument/2006/relationships/hyperlink" Target="http://manorguesthouse.com/?lang=ja" TargetMode="External"/><Relationship Id="rId7" Type="http://schemas.openxmlformats.org/officeDocument/2006/relationships/hyperlink" Target="http://sunlodge.com/?room=1-queen-bed" TargetMode="External"/><Relationship Id="rId8" Type="http://schemas.openxmlformats.org/officeDocument/2006/relationships/hyperlink" Target="http://www.banff-minshuku.com/indexj.htm" TargetMode="External"/><Relationship Id="rId33" Type="http://schemas.openxmlformats.org/officeDocument/2006/relationships/hyperlink" Target="http://wp.andantehostel.com/" TargetMode="External"/><Relationship Id="rId34" Type="http://schemas.openxmlformats.org/officeDocument/2006/relationships/hyperlink" Target="http://wp.andantehostel.com/" TargetMode="External"/><Relationship Id="rId35" Type="http://schemas.openxmlformats.org/officeDocument/2006/relationships/hyperlink" Target="http://pensionszentendre.blogspot.com/" TargetMode="External"/><Relationship Id="rId36" Type="http://schemas.openxmlformats.org/officeDocument/2006/relationships/hyperlink" Target="http://pensionszentendre.blogspot.com/" TargetMode="External"/><Relationship Id="rId10" Type="http://schemas.openxmlformats.org/officeDocument/2006/relationships/hyperlink" Target="http://www.paraiso.go2.jp/" TargetMode="External"/><Relationship Id="rId11" Type="http://schemas.openxmlformats.org/officeDocument/2006/relationships/hyperlink" Target="http://www.harekapone.cl/sfm_form_2.html" TargetMode="External"/><Relationship Id="rId12" Type="http://schemas.openxmlformats.org/officeDocument/2006/relationships/hyperlink" Target="http://www.londonapplehouse.com/index.html" TargetMode="External"/><Relationship Id="rId13" Type="http://schemas.openxmlformats.org/officeDocument/2006/relationships/hyperlink" Target="http://www.londonapplehouse.com/index.html" TargetMode="External"/><Relationship Id="rId14" Type="http://schemas.openxmlformats.org/officeDocument/2006/relationships/hyperlink" Target="http://www.london-tokyo.co.uk/guesthouse.php" TargetMode="External"/><Relationship Id="rId15" Type="http://schemas.openxmlformats.org/officeDocument/2006/relationships/hyperlink" Target="https://puchichiquito.wordpress.com/contact/" TargetMode="External"/><Relationship Id="rId16" Type="http://schemas.openxmlformats.org/officeDocument/2006/relationships/hyperlink" Target="https://www.emailmeform.com/builder/form/28hbr0vsSueccX0909" TargetMode="External"/><Relationship Id="rId17" Type="http://schemas.openxmlformats.org/officeDocument/2006/relationships/hyperlink" Target="https://www.hotellalunablanca.com/eng/contact-malaga-hotel/" TargetMode="External"/><Relationship Id="rId18" Type="http://schemas.openxmlformats.org/officeDocument/2006/relationships/hyperlink" Target="https://www.hotellalunablanca.com/localizacion-hotel-torremolinos/" TargetMode="External"/><Relationship Id="rId19" Type="http://schemas.openxmlformats.org/officeDocument/2006/relationships/hyperlink" Target="http://patiogranada.com/contact" TargetMode="External"/><Relationship Id="rId37" Type="http://schemas.openxmlformats.org/officeDocument/2006/relationships/hyperlink" Target="http://www.amsterdambudgethotel.com/make-reservation/" TargetMode="External"/><Relationship Id="rId38" Type="http://schemas.openxmlformats.org/officeDocument/2006/relationships/hyperlink" Target="http://www.amsterdambudgethotel.com/automatische-concepten/" TargetMode="External"/><Relationship Id="rId39" Type="http://schemas.openxmlformats.org/officeDocument/2006/relationships/hyperlink" Target="https://mistral83.jimdo.com/" TargetMode="External"/><Relationship Id="rId40" Type="http://schemas.openxmlformats.org/officeDocument/2006/relationships/hyperlink" Target="http://www.geocities.co.jp/SweetHome-Green/8563/" TargetMode="External"/><Relationship Id="rId41" Type="http://schemas.openxmlformats.org/officeDocument/2006/relationships/hyperlink" Target="https://mistral83.jimdo.com/" TargetMode="External"/><Relationship Id="rId42" Type="http://schemas.openxmlformats.org/officeDocument/2006/relationships/hyperlink" Target="http://www.geocities.co.jp/SweetHome-Green/85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321"/>
  <sheetViews>
    <sheetView tabSelected="1" topLeftCell="B1" zoomScale="75" zoomScaleNormal="80" workbookViewId="0">
      <pane ySplit="1" topLeftCell="A2" activePane="bottomLeft" state="frozen"/>
      <selection pane="bottomLeft" activeCell="D4" sqref="D4"/>
    </sheetView>
  </sheetViews>
  <sheetFormatPr baseColWidth="12" defaultColWidth="13.6640625" defaultRowHeight="20" x14ac:dyDescent="0.3"/>
  <cols>
    <col min="1" max="1" width="5.33203125" style="2" customWidth="1"/>
    <col min="2" max="2" width="14.33203125" style="3" customWidth="1"/>
    <col min="3" max="3" width="14.5" style="4" customWidth="1"/>
    <col min="4" max="4" width="13.6640625" style="2"/>
    <col min="5" max="6" width="15.83203125" style="2" customWidth="1"/>
    <col min="7" max="7" width="16.83203125" style="2" customWidth="1"/>
    <col min="8" max="10" width="13.6640625" style="2"/>
    <col min="11" max="11" width="33.83203125" style="2" customWidth="1"/>
    <col min="12" max="12" width="13.6640625" style="2"/>
    <col min="13" max="13" width="13.6640625" style="2" customWidth="1"/>
    <col min="14" max="17" width="13.6640625" style="2"/>
    <col min="18" max="18" width="13.6640625" style="5"/>
    <col min="19" max="20" width="13.6640625" style="2"/>
    <col min="21" max="21" width="45.1640625" style="2" customWidth="1"/>
    <col min="22" max="24" width="7.5" style="34" customWidth="1"/>
    <col min="25" max="16384" width="13.6640625" style="2"/>
  </cols>
  <sheetData>
    <row r="1" spans="1:24" s="1" customFormat="1" ht="80" x14ac:dyDescent="0.3">
      <c r="A1" s="11" t="s">
        <v>205</v>
      </c>
      <c r="B1" s="11" t="s">
        <v>206</v>
      </c>
      <c r="C1" s="11" t="s">
        <v>204</v>
      </c>
      <c r="D1" s="11" t="s">
        <v>203</v>
      </c>
      <c r="E1" s="11" t="s">
        <v>154</v>
      </c>
      <c r="F1" s="11" t="s">
        <v>155</v>
      </c>
      <c r="G1" s="11" t="s">
        <v>156</v>
      </c>
      <c r="H1" s="11" t="s">
        <v>157</v>
      </c>
      <c r="I1" s="11" t="s">
        <v>158</v>
      </c>
      <c r="J1" s="11" t="s">
        <v>159</v>
      </c>
      <c r="K1" s="11" t="s">
        <v>160</v>
      </c>
      <c r="L1" s="11" t="s">
        <v>161</v>
      </c>
      <c r="M1" s="11" t="s">
        <v>162</v>
      </c>
      <c r="N1" s="11" t="s">
        <v>163</v>
      </c>
      <c r="O1" s="11" t="s">
        <v>164</v>
      </c>
      <c r="P1" s="11" t="s">
        <v>165</v>
      </c>
      <c r="Q1" s="11" t="s">
        <v>166</v>
      </c>
      <c r="R1" s="12" t="s">
        <v>167</v>
      </c>
      <c r="S1" s="11" t="s">
        <v>168</v>
      </c>
      <c r="T1" s="11" t="s">
        <v>169</v>
      </c>
      <c r="U1" s="11" t="s">
        <v>170</v>
      </c>
      <c r="V1" s="34" t="s">
        <v>496</v>
      </c>
      <c r="W1" s="34" t="s">
        <v>497</v>
      </c>
      <c r="X1" s="34" t="s">
        <v>498</v>
      </c>
    </row>
    <row r="2" spans="1:24" s="1" customFormat="1" ht="40" x14ac:dyDescent="0.3">
      <c r="A2" s="13" t="s">
        <v>205</v>
      </c>
      <c r="B2" s="11" t="s">
        <v>171</v>
      </c>
      <c r="C2" s="11" t="s">
        <v>208</v>
      </c>
      <c r="D2" s="11" t="s">
        <v>172</v>
      </c>
      <c r="E2" s="11" t="s">
        <v>173</v>
      </c>
      <c r="F2" s="11" t="s">
        <v>174</v>
      </c>
      <c r="G2" s="11" t="s">
        <v>511</v>
      </c>
      <c r="H2" s="11" t="s">
        <v>175</v>
      </c>
      <c r="I2" s="11" t="s">
        <v>176</v>
      </c>
      <c r="J2" s="11" t="s">
        <v>147</v>
      </c>
      <c r="K2" s="11" t="s">
        <v>177</v>
      </c>
      <c r="L2" s="11" t="s">
        <v>207</v>
      </c>
      <c r="M2" s="11" t="s">
        <v>178</v>
      </c>
      <c r="N2" s="11" t="s">
        <v>179</v>
      </c>
      <c r="O2" s="11" t="s">
        <v>180</v>
      </c>
      <c r="P2" s="11" t="s">
        <v>181</v>
      </c>
      <c r="Q2" s="11" t="s">
        <v>182</v>
      </c>
      <c r="R2" s="12" t="s">
        <v>183</v>
      </c>
      <c r="S2" s="11" t="s">
        <v>184</v>
      </c>
      <c r="T2" s="11" t="s">
        <v>185</v>
      </c>
      <c r="U2" s="11" t="s">
        <v>510</v>
      </c>
      <c r="V2" s="34" t="s">
        <v>493</v>
      </c>
      <c r="W2" s="34" t="s">
        <v>495</v>
      </c>
      <c r="X2" s="34" t="s">
        <v>494</v>
      </c>
    </row>
    <row r="3" spans="1:24" s="1" customFormat="1" ht="40" x14ac:dyDescent="0.3">
      <c r="A3" s="13" t="s">
        <v>340</v>
      </c>
      <c r="B3" s="11" t="s">
        <v>186</v>
      </c>
      <c r="C3" s="11" t="s">
        <v>186</v>
      </c>
      <c r="D3" s="11" t="s">
        <v>186</v>
      </c>
      <c r="E3" s="11" t="s">
        <v>186</v>
      </c>
      <c r="F3" s="11" t="s">
        <v>187</v>
      </c>
      <c r="G3" s="11" t="s">
        <v>186</v>
      </c>
      <c r="H3" s="11" t="s">
        <v>186</v>
      </c>
      <c r="I3" s="11" t="s">
        <v>186</v>
      </c>
      <c r="J3" s="11" t="s">
        <v>186</v>
      </c>
      <c r="K3" s="11" t="s">
        <v>186</v>
      </c>
      <c r="L3" s="11" t="s">
        <v>186</v>
      </c>
      <c r="M3" s="11" t="s">
        <v>186</v>
      </c>
      <c r="N3" s="11" t="s">
        <v>186</v>
      </c>
      <c r="O3" s="11" t="s">
        <v>186</v>
      </c>
      <c r="P3" s="11" t="s">
        <v>186</v>
      </c>
      <c r="Q3" s="11" t="s">
        <v>186</v>
      </c>
      <c r="R3" s="12" t="s">
        <v>186</v>
      </c>
      <c r="S3" s="11" t="s">
        <v>186</v>
      </c>
      <c r="T3" s="11" t="s">
        <v>186</v>
      </c>
      <c r="U3" s="11" t="s">
        <v>186</v>
      </c>
      <c r="V3" s="33" t="s">
        <v>186</v>
      </c>
      <c r="W3" s="33" t="s">
        <v>186</v>
      </c>
      <c r="X3" s="33" t="s">
        <v>186</v>
      </c>
    </row>
    <row r="4" spans="1:24" ht="200" x14ac:dyDescent="0.3">
      <c r="A4" s="14" t="s">
        <v>0</v>
      </c>
      <c r="B4" s="15" t="s">
        <v>28</v>
      </c>
      <c r="C4" s="16" t="s">
        <v>83</v>
      </c>
      <c r="D4" s="14" t="s">
        <v>1</v>
      </c>
      <c r="E4" s="14" t="s">
        <v>4</v>
      </c>
      <c r="F4" s="14">
        <v>5</v>
      </c>
      <c r="G4" s="14" t="s">
        <v>282</v>
      </c>
      <c r="H4" s="14" t="s">
        <v>18</v>
      </c>
      <c r="I4" s="14"/>
      <c r="J4" s="14"/>
      <c r="K4" s="14" t="s">
        <v>22</v>
      </c>
      <c r="L4" s="14">
        <v>1</v>
      </c>
      <c r="M4" s="14" t="s">
        <v>3</v>
      </c>
      <c r="N4" s="14" t="s">
        <v>31</v>
      </c>
      <c r="O4" s="17" t="s">
        <v>216</v>
      </c>
      <c r="P4" s="11" t="s">
        <v>188</v>
      </c>
      <c r="Q4" s="11"/>
      <c r="R4" s="18" t="s">
        <v>499</v>
      </c>
      <c r="S4" s="14" t="s">
        <v>2</v>
      </c>
      <c r="T4" s="14" t="s">
        <v>15</v>
      </c>
      <c r="U4" s="14" t="s">
        <v>145</v>
      </c>
      <c r="V4" s="34">
        <v>248</v>
      </c>
      <c r="W4" s="34">
        <v>49</v>
      </c>
      <c r="X4" s="34">
        <v>98</v>
      </c>
    </row>
    <row r="5" spans="1:24" ht="160" x14ac:dyDescent="0.3">
      <c r="A5" s="14">
        <v>2</v>
      </c>
      <c r="B5" s="15" t="s">
        <v>11</v>
      </c>
      <c r="C5" s="16" t="s">
        <v>83</v>
      </c>
      <c r="D5" s="14" t="s">
        <v>1</v>
      </c>
      <c r="E5" s="14" t="s">
        <v>505</v>
      </c>
      <c r="F5" s="14">
        <v>5</v>
      </c>
      <c r="G5" s="14" t="s">
        <v>5</v>
      </c>
      <c r="H5" s="14" t="s">
        <v>149</v>
      </c>
      <c r="I5" s="14">
        <v>40.686534999999999</v>
      </c>
      <c r="J5" s="14">
        <v>-73.976661000000007</v>
      </c>
      <c r="K5" s="14" t="s">
        <v>16</v>
      </c>
      <c r="L5" s="14">
        <v>5</v>
      </c>
      <c r="M5" s="14" t="s">
        <v>3</v>
      </c>
      <c r="N5" s="14" t="s">
        <v>6</v>
      </c>
      <c r="O5" s="17" t="s">
        <v>217</v>
      </c>
      <c r="P5" s="11" t="s">
        <v>189</v>
      </c>
      <c r="Q5" s="19" t="s">
        <v>190</v>
      </c>
      <c r="R5" s="18" t="s">
        <v>8</v>
      </c>
      <c r="S5" s="14" t="s">
        <v>9</v>
      </c>
      <c r="T5" s="14" t="s">
        <v>14</v>
      </c>
      <c r="U5" s="14" t="s">
        <v>506</v>
      </c>
      <c r="V5" s="34">
        <v>246</v>
      </c>
      <c r="W5" s="34">
        <v>49</v>
      </c>
      <c r="X5" s="34">
        <v>241</v>
      </c>
    </row>
    <row r="6" spans="1:24" ht="140" x14ac:dyDescent="0.3">
      <c r="A6" s="14">
        <v>3</v>
      </c>
      <c r="B6" s="15" t="s">
        <v>71</v>
      </c>
      <c r="C6" s="16" t="s">
        <v>83</v>
      </c>
      <c r="D6" s="14" t="s">
        <v>1</v>
      </c>
      <c r="E6" s="14" t="s">
        <v>10</v>
      </c>
      <c r="F6" s="14">
        <v>5</v>
      </c>
      <c r="G6" s="14" t="s">
        <v>282</v>
      </c>
      <c r="H6" s="14" t="s">
        <v>148</v>
      </c>
      <c r="I6" s="14">
        <v>21.648351999999999</v>
      </c>
      <c r="J6" s="14">
        <v>-158.061442</v>
      </c>
      <c r="K6" s="14" t="s">
        <v>36</v>
      </c>
      <c r="L6" s="14">
        <v>2</v>
      </c>
      <c r="M6" s="14" t="s">
        <v>3</v>
      </c>
      <c r="N6" s="14" t="s">
        <v>19</v>
      </c>
      <c r="O6" s="17" t="s">
        <v>218</v>
      </c>
      <c r="P6" s="11" t="s">
        <v>189</v>
      </c>
      <c r="Q6" s="19" t="s">
        <v>191</v>
      </c>
      <c r="R6" s="18" t="s">
        <v>7</v>
      </c>
      <c r="S6" s="14" t="s">
        <v>17</v>
      </c>
      <c r="T6" s="14" t="s">
        <v>13</v>
      </c>
      <c r="U6" s="14" t="s">
        <v>140</v>
      </c>
      <c r="V6" s="34">
        <v>42</v>
      </c>
      <c r="W6" s="34">
        <v>37</v>
      </c>
      <c r="X6" s="34">
        <v>255</v>
      </c>
    </row>
    <row r="7" spans="1:24" ht="340" x14ac:dyDescent="0.3">
      <c r="A7" s="14">
        <v>101</v>
      </c>
      <c r="B7" s="15" t="s">
        <v>11</v>
      </c>
      <c r="C7" s="16" t="s">
        <v>83</v>
      </c>
      <c r="D7" s="14" t="s">
        <v>27</v>
      </c>
      <c r="E7" s="14" t="s">
        <v>26</v>
      </c>
      <c r="F7" s="14">
        <v>5</v>
      </c>
      <c r="G7" s="14" t="s">
        <v>25</v>
      </c>
      <c r="H7" s="14" t="s">
        <v>3</v>
      </c>
      <c r="I7" s="14"/>
      <c r="J7" s="14"/>
      <c r="K7" s="14" t="s">
        <v>32</v>
      </c>
      <c r="L7" s="14">
        <v>6</v>
      </c>
      <c r="M7" s="14" t="s">
        <v>3</v>
      </c>
      <c r="N7" s="14" t="s">
        <v>30</v>
      </c>
      <c r="O7" s="17" t="s">
        <v>219</v>
      </c>
      <c r="P7" s="11" t="s">
        <v>188</v>
      </c>
      <c r="Q7" s="19" t="s">
        <v>192</v>
      </c>
      <c r="R7" s="18" t="s">
        <v>23</v>
      </c>
      <c r="S7" s="14" t="s">
        <v>24</v>
      </c>
      <c r="T7" s="11" t="s">
        <v>12</v>
      </c>
      <c r="U7" s="14" t="s">
        <v>20</v>
      </c>
      <c r="V7" s="34">
        <v>39</v>
      </c>
      <c r="W7" s="34">
        <v>162</v>
      </c>
      <c r="X7" s="34">
        <v>255</v>
      </c>
    </row>
    <row r="8" spans="1:24" ht="120" x14ac:dyDescent="0.3">
      <c r="A8" s="14">
        <f t="shared" ref="A8:A86" si="0">A7+1</f>
        <v>102</v>
      </c>
      <c r="B8" s="15" t="s">
        <v>28</v>
      </c>
      <c r="C8" s="16" t="s">
        <v>83</v>
      </c>
      <c r="D8" s="14" t="s">
        <v>27</v>
      </c>
      <c r="E8" s="14" t="s">
        <v>39</v>
      </c>
      <c r="F8" s="14">
        <v>5</v>
      </c>
      <c r="G8" s="14" t="s">
        <v>33</v>
      </c>
      <c r="H8" s="14" t="s">
        <v>3</v>
      </c>
      <c r="I8" s="14"/>
      <c r="J8" s="14"/>
      <c r="K8" s="14" t="s">
        <v>37</v>
      </c>
      <c r="L8" s="14">
        <v>4</v>
      </c>
      <c r="M8" s="14" t="s">
        <v>3</v>
      </c>
      <c r="N8" s="14" t="s">
        <v>30</v>
      </c>
      <c r="O8" s="17" t="s">
        <v>219</v>
      </c>
      <c r="P8" s="11" t="s">
        <v>189</v>
      </c>
      <c r="Q8" s="19" t="s">
        <v>193</v>
      </c>
      <c r="R8" s="18" t="s">
        <v>35</v>
      </c>
      <c r="S8" s="14" t="s">
        <v>34</v>
      </c>
      <c r="T8" s="14" t="s">
        <v>38</v>
      </c>
      <c r="U8" s="14" t="s">
        <v>29</v>
      </c>
      <c r="V8" s="34">
        <v>255</v>
      </c>
      <c r="W8" s="34">
        <v>193</v>
      </c>
      <c r="X8" s="34">
        <v>37</v>
      </c>
    </row>
    <row r="9" spans="1:24" ht="200" x14ac:dyDescent="0.3">
      <c r="A9" s="14">
        <f t="shared" si="0"/>
        <v>103</v>
      </c>
      <c r="B9" s="15" t="s">
        <v>28</v>
      </c>
      <c r="C9" s="16" t="s">
        <v>83</v>
      </c>
      <c r="D9" s="14" t="s">
        <v>27</v>
      </c>
      <c r="E9" s="14" t="s">
        <v>43</v>
      </c>
      <c r="F9" s="14">
        <v>5</v>
      </c>
      <c r="G9" s="14" t="s">
        <v>40</v>
      </c>
      <c r="H9" s="14" t="s">
        <v>3</v>
      </c>
      <c r="I9" s="14"/>
      <c r="J9" s="14"/>
      <c r="K9" s="14" t="s">
        <v>46</v>
      </c>
      <c r="L9" s="14">
        <v>3</v>
      </c>
      <c r="M9" s="14" t="s">
        <v>3</v>
      </c>
      <c r="N9" s="14"/>
      <c r="O9" s="17" t="s">
        <v>220</v>
      </c>
      <c r="P9" s="11" t="s">
        <v>189</v>
      </c>
      <c r="Q9" s="19" t="s">
        <v>41</v>
      </c>
      <c r="R9" s="18" t="s">
        <v>45</v>
      </c>
      <c r="S9" s="14" t="s">
        <v>44</v>
      </c>
      <c r="T9" s="14" t="s">
        <v>41</v>
      </c>
      <c r="U9" s="14" t="s">
        <v>42</v>
      </c>
      <c r="V9" s="34">
        <v>16</v>
      </c>
      <c r="W9" s="34">
        <v>107</v>
      </c>
      <c r="X9" s="34">
        <v>20</v>
      </c>
    </row>
    <row r="10" spans="1:24" ht="80" x14ac:dyDescent="0.3">
      <c r="A10" s="14">
        <f t="shared" si="0"/>
        <v>104</v>
      </c>
      <c r="B10" s="15" t="s">
        <v>53</v>
      </c>
      <c r="C10" s="16" t="s">
        <v>83</v>
      </c>
      <c r="D10" s="14" t="s">
        <v>27</v>
      </c>
      <c r="E10" s="14" t="s">
        <v>51</v>
      </c>
      <c r="F10" s="14">
        <v>5</v>
      </c>
      <c r="G10" s="14" t="s">
        <v>50</v>
      </c>
      <c r="H10" s="14" t="s">
        <v>3</v>
      </c>
      <c r="I10" s="14"/>
      <c r="J10" s="14"/>
      <c r="K10" s="14" t="s">
        <v>52</v>
      </c>
      <c r="L10" s="14">
        <v>2</v>
      </c>
      <c r="M10" s="14" t="s">
        <v>3</v>
      </c>
      <c r="N10" s="14"/>
      <c r="O10" s="17" t="s">
        <v>220</v>
      </c>
      <c r="P10" s="11" t="s">
        <v>188</v>
      </c>
      <c r="Q10" s="19" t="s">
        <v>194</v>
      </c>
      <c r="R10" s="18" t="s">
        <v>77</v>
      </c>
      <c r="S10" s="14" t="s">
        <v>48</v>
      </c>
      <c r="T10" s="14" t="s">
        <v>47</v>
      </c>
      <c r="U10" s="14" t="s">
        <v>146</v>
      </c>
      <c r="V10" s="34">
        <v>28</v>
      </c>
      <c r="W10" s="34">
        <v>190</v>
      </c>
      <c r="X10" s="34">
        <v>34</v>
      </c>
    </row>
    <row r="11" spans="1:24" ht="80" x14ac:dyDescent="0.3">
      <c r="A11" s="14">
        <f t="shared" si="0"/>
        <v>105</v>
      </c>
      <c r="B11" s="15" t="s">
        <v>28</v>
      </c>
      <c r="C11" s="16" t="s">
        <v>83</v>
      </c>
      <c r="D11" s="14" t="s">
        <v>27</v>
      </c>
      <c r="E11" s="14" t="s">
        <v>54</v>
      </c>
      <c r="F11" s="14">
        <v>5</v>
      </c>
      <c r="G11" s="14" t="s">
        <v>56</v>
      </c>
      <c r="H11" s="14" t="s">
        <v>3</v>
      </c>
      <c r="I11" s="14"/>
      <c r="J11" s="14"/>
      <c r="K11" s="14" t="s">
        <v>58</v>
      </c>
      <c r="L11" s="14">
        <v>1</v>
      </c>
      <c r="M11" s="14" t="s">
        <v>3</v>
      </c>
      <c r="N11" s="14"/>
      <c r="O11" s="17" t="s">
        <v>220</v>
      </c>
      <c r="P11" s="11" t="s">
        <v>188</v>
      </c>
      <c r="Q11" s="11"/>
      <c r="R11" s="18" t="s">
        <v>78</v>
      </c>
      <c r="S11" s="14" t="s">
        <v>55</v>
      </c>
      <c r="T11" s="14" t="s">
        <v>59</v>
      </c>
      <c r="U11" s="14" t="s">
        <v>57</v>
      </c>
    </row>
    <row r="12" spans="1:24" ht="360" x14ac:dyDescent="0.3">
      <c r="A12" s="14">
        <f t="shared" si="0"/>
        <v>106</v>
      </c>
      <c r="B12" s="15" t="s">
        <v>71</v>
      </c>
      <c r="C12" s="16" t="s">
        <v>83</v>
      </c>
      <c r="D12" s="14" t="s">
        <v>27</v>
      </c>
      <c r="E12" s="14" t="s">
        <v>141</v>
      </c>
      <c r="F12" s="14">
        <v>5</v>
      </c>
      <c r="G12" s="14" t="s">
        <v>150</v>
      </c>
      <c r="H12" s="14" t="s">
        <v>151</v>
      </c>
      <c r="I12" s="14">
        <v>50.884807000000002</v>
      </c>
      <c r="J12" s="14">
        <v>-119.89191700000001</v>
      </c>
      <c r="K12" s="14" t="s">
        <v>61</v>
      </c>
      <c r="L12" s="14">
        <v>1</v>
      </c>
      <c r="M12" s="14" t="s">
        <v>49</v>
      </c>
      <c r="N12" s="14"/>
      <c r="O12" s="17" t="s">
        <v>221</v>
      </c>
      <c r="P12" s="11" t="s">
        <v>189</v>
      </c>
      <c r="Q12" s="19" t="s">
        <v>195</v>
      </c>
      <c r="R12" s="18" t="s">
        <v>76</v>
      </c>
      <c r="S12" s="14" t="s">
        <v>62</v>
      </c>
      <c r="T12" s="14" t="s">
        <v>60</v>
      </c>
      <c r="U12" s="14" t="s">
        <v>142</v>
      </c>
    </row>
    <row r="13" spans="1:24" ht="160" x14ac:dyDescent="0.3">
      <c r="A13" s="14">
        <f t="shared" si="0"/>
        <v>107</v>
      </c>
      <c r="B13" s="15" t="s">
        <v>71</v>
      </c>
      <c r="C13" s="16" t="s">
        <v>83</v>
      </c>
      <c r="D13" s="14" t="s">
        <v>27</v>
      </c>
      <c r="E13" s="14" t="s">
        <v>65</v>
      </c>
      <c r="F13" s="14">
        <v>5</v>
      </c>
      <c r="G13" s="14" t="s">
        <v>66</v>
      </c>
      <c r="H13" s="14" t="s">
        <v>3</v>
      </c>
      <c r="I13" s="14"/>
      <c r="J13" s="14"/>
      <c r="K13" s="14" t="s">
        <v>69</v>
      </c>
      <c r="L13" s="14">
        <v>1</v>
      </c>
      <c r="M13" s="14" t="s">
        <v>49</v>
      </c>
      <c r="N13" s="14"/>
      <c r="O13" s="17" t="s">
        <v>220</v>
      </c>
      <c r="P13" s="11" t="s">
        <v>189</v>
      </c>
      <c r="Q13" s="19" t="s">
        <v>196</v>
      </c>
      <c r="R13" s="18" t="s">
        <v>68</v>
      </c>
      <c r="S13" s="14" t="s">
        <v>67</v>
      </c>
      <c r="T13" s="14" t="s">
        <v>63</v>
      </c>
      <c r="U13" s="14" t="s">
        <v>64</v>
      </c>
    </row>
    <row r="14" spans="1:24" ht="140" x14ac:dyDescent="0.3">
      <c r="A14" s="14">
        <f t="shared" si="0"/>
        <v>108</v>
      </c>
      <c r="B14" s="15" t="s">
        <v>53</v>
      </c>
      <c r="C14" s="16" t="s">
        <v>83</v>
      </c>
      <c r="D14" s="14" t="s">
        <v>27</v>
      </c>
      <c r="E14" s="14" t="s">
        <v>70</v>
      </c>
      <c r="F14" s="14">
        <v>5</v>
      </c>
      <c r="G14" s="14" t="s">
        <v>75</v>
      </c>
      <c r="H14" s="14" t="s">
        <v>3</v>
      </c>
      <c r="I14" s="14"/>
      <c r="J14" s="14"/>
      <c r="K14" s="14" t="s">
        <v>74</v>
      </c>
      <c r="L14" s="14">
        <v>2</v>
      </c>
      <c r="M14" s="14" t="s">
        <v>3</v>
      </c>
      <c r="N14" s="14"/>
      <c r="O14" s="17" t="s">
        <v>220</v>
      </c>
      <c r="P14" s="11" t="s">
        <v>189</v>
      </c>
      <c r="Q14" s="19" t="s">
        <v>197</v>
      </c>
      <c r="R14" s="18" t="s">
        <v>79</v>
      </c>
      <c r="S14" s="14" t="s">
        <v>80</v>
      </c>
      <c r="T14" s="14" t="s">
        <v>72</v>
      </c>
      <c r="U14" s="14" t="s">
        <v>73</v>
      </c>
    </row>
    <row r="15" spans="1:24" ht="300" x14ac:dyDescent="0.3">
      <c r="A15" s="14">
        <v>201</v>
      </c>
      <c r="B15" s="15" t="s">
        <v>91</v>
      </c>
      <c r="C15" s="16" t="s">
        <v>82</v>
      </c>
      <c r="D15" s="16" t="s">
        <v>81</v>
      </c>
      <c r="E15" s="14" t="s">
        <v>84</v>
      </c>
      <c r="F15" s="14">
        <v>5</v>
      </c>
      <c r="G15" s="14" t="s">
        <v>87</v>
      </c>
      <c r="H15" s="14" t="s">
        <v>3</v>
      </c>
      <c r="I15" s="14"/>
      <c r="J15" s="14"/>
      <c r="K15" s="14" t="s">
        <v>90</v>
      </c>
      <c r="L15" s="14">
        <v>6</v>
      </c>
      <c r="M15" s="14" t="s">
        <v>3</v>
      </c>
      <c r="N15" s="14"/>
      <c r="O15" s="17" t="s">
        <v>222</v>
      </c>
      <c r="P15" s="11" t="s">
        <v>188</v>
      </c>
      <c r="Q15" s="11"/>
      <c r="R15" s="18" t="s">
        <v>88</v>
      </c>
      <c r="S15" s="14" t="s">
        <v>89</v>
      </c>
      <c r="T15" s="14" t="s">
        <v>86</v>
      </c>
      <c r="U15" s="14" t="s">
        <v>85</v>
      </c>
    </row>
    <row r="16" spans="1:24" ht="120" x14ac:dyDescent="0.3">
      <c r="A16" s="14">
        <f t="shared" si="0"/>
        <v>202</v>
      </c>
      <c r="B16" s="15" t="s">
        <v>91</v>
      </c>
      <c r="C16" s="16" t="s">
        <v>82</v>
      </c>
      <c r="D16" s="16" t="s">
        <v>81</v>
      </c>
      <c r="E16" s="14" t="s">
        <v>143</v>
      </c>
      <c r="F16" s="14">
        <v>5</v>
      </c>
      <c r="G16" s="14" t="s">
        <v>96</v>
      </c>
      <c r="H16" s="14" t="s">
        <v>152</v>
      </c>
      <c r="I16" s="14">
        <v>18.028576999999999</v>
      </c>
      <c r="J16" s="14">
        <v>-76.798553999999996</v>
      </c>
      <c r="K16" s="14" t="s">
        <v>92</v>
      </c>
      <c r="L16" s="14">
        <v>11</v>
      </c>
      <c r="M16" s="14" t="s">
        <v>3</v>
      </c>
      <c r="N16" s="14"/>
      <c r="O16" s="17" t="s">
        <v>222</v>
      </c>
      <c r="P16" s="11" t="s">
        <v>188</v>
      </c>
      <c r="Q16" s="11" t="s">
        <v>198</v>
      </c>
      <c r="R16" s="18" t="s">
        <v>93</v>
      </c>
      <c r="S16" s="14" t="s">
        <v>94</v>
      </c>
      <c r="T16" s="14" t="s">
        <v>95</v>
      </c>
      <c r="U16" s="14" t="s">
        <v>144</v>
      </c>
    </row>
    <row r="17" spans="1:24" ht="140" x14ac:dyDescent="0.3">
      <c r="A17" s="14">
        <v>211</v>
      </c>
      <c r="B17" s="15" t="s">
        <v>91</v>
      </c>
      <c r="C17" s="16" t="s">
        <v>82</v>
      </c>
      <c r="D17" s="14" t="s">
        <v>97</v>
      </c>
      <c r="E17" s="14" t="s">
        <v>98</v>
      </c>
      <c r="F17" s="14">
        <v>5</v>
      </c>
      <c r="G17" s="14" t="s">
        <v>102</v>
      </c>
      <c r="H17" s="14" t="s">
        <v>3</v>
      </c>
      <c r="I17" s="14"/>
      <c r="J17" s="14"/>
      <c r="K17" s="14" t="s">
        <v>100</v>
      </c>
      <c r="L17" s="14">
        <v>5</v>
      </c>
      <c r="M17" s="14" t="s">
        <v>3</v>
      </c>
      <c r="N17" s="14"/>
      <c r="O17" s="17" t="s">
        <v>223</v>
      </c>
      <c r="P17" s="11" t="s">
        <v>189</v>
      </c>
      <c r="Q17" s="11" t="s">
        <v>199</v>
      </c>
      <c r="R17" s="18" t="s">
        <v>101</v>
      </c>
      <c r="S17" s="14" t="s">
        <v>103</v>
      </c>
      <c r="T17" s="14" t="s">
        <v>104</v>
      </c>
      <c r="U17" s="14" t="s">
        <v>99</v>
      </c>
    </row>
    <row r="18" spans="1:24" ht="100" x14ac:dyDescent="0.3">
      <c r="A18" s="14">
        <f t="shared" si="0"/>
        <v>212</v>
      </c>
      <c r="B18" s="15" t="s">
        <v>91</v>
      </c>
      <c r="C18" s="16" t="s">
        <v>82</v>
      </c>
      <c r="D18" s="14" t="s">
        <v>97</v>
      </c>
      <c r="E18" s="14" t="s">
        <v>111</v>
      </c>
      <c r="F18" s="14">
        <v>5</v>
      </c>
      <c r="G18" s="14" t="s">
        <v>107</v>
      </c>
      <c r="H18" s="14" t="s">
        <v>3</v>
      </c>
      <c r="I18" s="14"/>
      <c r="J18" s="14"/>
      <c r="K18" s="14" t="s">
        <v>106</v>
      </c>
      <c r="L18" s="14">
        <v>3</v>
      </c>
      <c r="M18" s="14"/>
      <c r="N18" s="14"/>
      <c r="O18" s="17" t="s">
        <v>224</v>
      </c>
      <c r="P18" s="11"/>
      <c r="Q18" s="11"/>
      <c r="R18" s="18" t="s">
        <v>108</v>
      </c>
      <c r="S18" s="14" t="s">
        <v>109</v>
      </c>
      <c r="T18" s="14" t="s">
        <v>110</v>
      </c>
      <c r="U18" s="14" t="s">
        <v>105</v>
      </c>
    </row>
    <row r="19" spans="1:24" ht="300" x14ac:dyDescent="0.3">
      <c r="A19" s="14">
        <f t="shared" si="0"/>
        <v>213</v>
      </c>
      <c r="B19" s="15" t="s">
        <v>11</v>
      </c>
      <c r="C19" s="16" t="s">
        <v>82</v>
      </c>
      <c r="D19" s="14" t="s">
        <v>97</v>
      </c>
      <c r="E19" s="14" t="s">
        <v>112</v>
      </c>
      <c r="F19" s="14">
        <v>5</v>
      </c>
      <c r="G19" s="14" t="s">
        <v>114</v>
      </c>
      <c r="H19" s="14" t="s">
        <v>118</v>
      </c>
      <c r="I19" s="14"/>
      <c r="J19" s="14"/>
      <c r="K19" s="14" t="s">
        <v>119</v>
      </c>
      <c r="L19" s="14"/>
      <c r="M19" s="14" t="s">
        <v>3</v>
      </c>
      <c r="N19" s="14" t="s">
        <v>21</v>
      </c>
      <c r="O19" s="17" t="s">
        <v>225</v>
      </c>
      <c r="P19" s="11"/>
      <c r="Q19" s="11"/>
      <c r="R19" s="18" t="s">
        <v>115</v>
      </c>
      <c r="S19" s="14" t="s">
        <v>117</v>
      </c>
      <c r="T19" s="14" t="s">
        <v>116</v>
      </c>
      <c r="U19" s="14" t="s">
        <v>113</v>
      </c>
    </row>
    <row r="20" spans="1:24" ht="100" x14ac:dyDescent="0.3">
      <c r="A20" s="14">
        <f t="shared" si="0"/>
        <v>214</v>
      </c>
      <c r="B20" s="15" t="s">
        <v>11</v>
      </c>
      <c r="C20" s="16" t="s">
        <v>82</v>
      </c>
      <c r="D20" s="14" t="s">
        <v>97</v>
      </c>
      <c r="E20" s="14" t="s">
        <v>121</v>
      </c>
      <c r="F20" s="14">
        <v>5</v>
      </c>
      <c r="G20" s="14" t="s">
        <v>124</v>
      </c>
      <c r="H20" s="14" t="s">
        <v>3</v>
      </c>
      <c r="I20" s="14"/>
      <c r="J20" s="14"/>
      <c r="K20" s="14" t="s">
        <v>122</v>
      </c>
      <c r="L20" s="14">
        <v>5</v>
      </c>
      <c r="M20" s="14" t="s">
        <v>123</v>
      </c>
      <c r="N20" s="14"/>
      <c r="O20" s="17" t="s">
        <v>225</v>
      </c>
      <c r="P20" s="11" t="s">
        <v>189</v>
      </c>
      <c r="Q20" s="19" t="s">
        <v>200</v>
      </c>
      <c r="R20" s="18"/>
      <c r="S20" s="14" t="s">
        <v>125</v>
      </c>
      <c r="T20" s="14" t="s">
        <v>126</v>
      </c>
      <c r="U20" s="14" t="s">
        <v>120</v>
      </c>
    </row>
    <row r="21" spans="1:24" ht="200" x14ac:dyDescent="0.3">
      <c r="A21" s="14">
        <v>221</v>
      </c>
      <c r="B21" s="15" t="s">
        <v>11</v>
      </c>
      <c r="C21" s="16" t="s">
        <v>82</v>
      </c>
      <c r="D21" s="14" t="s">
        <v>129</v>
      </c>
      <c r="E21" s="14" t="s">
        <v>133</v>
      </c>
      <c r="F21" s="14">
        <v>5</v>
      </c>
      <c r="G21" s="14" t="s">
        <v>127</v>
      </c>
      <c r="H21" s="14" t="s">
        <v>128</v>
      </c>
      <c r="I21" s="14"/>
      <c r="J21" s="14"/>
      <c r="K21" s="14" t="s">
        <v>132</v>
      </c>
      <c r="L21" s="14">
        <v>100</v>
      </c>
      <c r="M21" s="14" t="s">
        <v>3</v>
      </c>
      <c r="N21" s="14"/>
      <c r="O21" s="17" t="s">
        <v>226</v>
      </c>
      <c r="P21" s="11" t="s">
        <v>201</v>
      </c>
      <c r="Q21" s="11"/>
      <c r="R21" s="18" t="s">
        <v>130</v>
      </c>
      <c r="S21" s="14" t="s">
        <v>131</v>
      </c>
      <c r="T21" s="14" t="s">
        <v>135</v>
      </c>
      <c r="U21" s="14" t="s">
        <v>136</v>
      </c>
    </row>
    <row r="22" spans="1:24" ht="120" x14ac:dyDescent="0.3">
      <c r="A22" s="14">
        <v>231</v>
      </c>
      <c r="B22" s="15" t="s">
        <v>91</v>
      </c>
      <c r="C22" s="16" t="s">
        <v>82</v>
      </c>
      <c r="D22" s="14" t="s">
        <v>137</v>
      </c>
      <c r="E22" s="14" t="s">
        <v>507</v>
      </c>
      <c r="F22" s="14">
        <v>5</v>
      </c>
      <c r="G22" s="14" t="s">
        <v>508</v>
      </c>
      <c r="H22" s="14" t="s">
        <v>153</v>
      </c>
      <c r="I22" s="14">
        <v>-27.153286000000001</v>
      </c>
      <c r="J22" s="14">
        <v>-109.428169</v>
      </c>
      <c r="K22" s="14" t="s">
        <v>138</v>
      </c>
      <c r="L22" s="14">
        <v>2</v>
      </c>
      <c r="M22" s="14" t="s">
        <v>3</v>
      </c>
      <c r="N22" s="14"/>
      <c r="O22" s="17" t="s">
        <v>227</v>
      </c>
      <c r="P22" s="11" t="s">
        <v>188</v>
      </c>
      <c r="Q22" s="19" t="s">
        <v>202</v>
      </c>
      <c r="R22" s="18"/>
      <c r="S22" s="14" t="s">
        <v>139</v>
      </c>
      <c r="T22" s="14" t="s">
        <v>134</v>
      </c>
      <c r="U22" s="14" t="s">
        <v>509</v>
      </c>
    </row>
    <row r="23" spans="1:24" ht="280" x14ac:dyDescent="0.3">
      <c r="A23" s="14">
        <v>301</v>
      </c>
      <c r="B23" s="15" t="s">
        <v>230</v>
      </c>
      <c r="C23" s="16" t="s">
        <v>209</v>
      </c>
      <c r="D23" s="14" t="s">
        <v>210</v>
      </c>
      <c r="E23" s="14" t="s">
        <v>215</v>
      </c>
      <c r="F23" s="14">
        <v>5</v>
      </c>
      <c r="G23" s="14" t="s">
        <v>234</v>
      </c>
      <c r="H23" s="14"/>
      <c r="I23" s="14"/>
      <c r="J23" s="14"/>
      <c r="K23" s="14" t="s">
        <v>229</v>
      </c>
      <c r="L23" s="14">
        <v>1</v>
      </c>
      <c r="M23" s="14" t="s">
        <v>233</v>
      </c>
      <c r="N23" s="14" t="s">
        <v>231</v>
      </c>
      <c r="O23" s="17" t="s">
        <v>228</v>
      </c>
      <c r="P23" s="14" t="s">
        <v>232</v>
      </c>
      <c r="Q23" s="14" t="s">
        <v>214</v>
      </c>
      <c r="R23" s="18" t="s">
        <v>213</v>
      </c>
      <c r="S23" s="14" t="s">
        <v>212</v>
      </c>
      <c r="T23" s="14"/>
      <c r="U23" s="14" t="s">
        <v>211</v>
      </c>
    </row>
    <row r="24" spans="1:24" s="21" customFormat="1" ht="280" x14ac:dyDescent="0.3">
      <c r="A24" s="20">
        <f t="shared" si="0"/>
        <v>302</v>
      </c>
      <c r="B24" s="6" t="s">
        <v>473</v>
      </c>
      <c r="C24" s="20" t="s">
        <v>209</v>
      </c>
      <c r="D24" s="6" t="s">
        <v>474</v>
      </c>
      <c r="E24" s="6" t="s">
        <v>475</v>
      </c>
      <c r="F24" s="7"/>
      <c r="G24" s="6" t="s">
        <v>476</v>
      </c>
      <c r="H24" s="6" t="s">
        <v>476</v>
      </c>
      <c r="I24" s="7"/>
      <c r="J24" s="7"/>
      <c r="K24" s="6" t="s">
        <v>477</v>
      </c>
      <c r="L24" s="7"/>
      <c r="M24" s="6" t="s">
        <v>478</v>
      </c>
      <c r="N24" s="6" t="s">
        <v>479</v>
      </c>
      <c r="O24" s="6" t="s">
        <v>480</v>
      </c>
      <c r="P24" s="6" t="s">
        <v>188</v>
      </c>
      <c r="Q24" s="8" t="s">
        <v>481</v>
      </c>
      <c r="R24" s="6" t="s">
        <v>482</v>
      </c>
      <c r="S24" s="9" t="s">
        <v>483</v>
      </c>
      <c r="T24" s="8" t="s">
        <v>484</v>
      </c>
      <c r="U24" s="10" t="s">
        <v>485</v>
      </c>
      <c r="V24" s="35"/>
      <c r="W24" s="35"/>
      <c r="X24" s="35"/>
    </row>
    <row r="25" spans="1:24" s="21" customFormat="1" ht="280" x14ac:dyDescent="0.3">
      <c r="A25" s="20">
        <f t="shared" si="0"/>
        <v>303</v>
      </c>
      <c r="B25" s="6" t="s">
        <v>473</v>
      </c>
      <c r="C25" s="20" t="s">
        <v>209</v>
      </c>
      <c r="D25" s="6" t="s">
        <v>474</v>
      </c>
      <c r="E25" s="6" t="s">
        <v>475</v>
      </c>
      <c r="F25" s="7"/>
      <c r="G25" s="6" t="s">
        <v>476</v>
      </c>
      <c r="H25" s="6" t="s">
        <v>476</v>
      </c>
      <c r="I25" s="7"/>
      <c r="J25" s="7"/>
      <c r="K25" s="6" t="s">
        <v>477</v>
      </c>
      <c r="L25" s="7"/>
      <c r="M25" s="6" t="s">
        <v>478</v>
      </c>
      <c r="N25" s="6" t="s">
        <v>479</v>
      </c>
      <c r="O25" s="6" t="s">
        <v>480</v>
      </c>
      <c r="P25" s="6" t="s">
        <v>188</v>
      </c>
      <c r="Q25" s="8" t="s">
        <v>481</v>
      </c>
      <c r="R25" s="6" t="s">
        <v>482</v>
      </c>
      <c r="S25" s="9" t="s">
        <v>483</v>
      </c>
      <c r="T25" s="8" t="s">
        <v>484</v>
      </c>
      <c r="U25" s="10" t="s">
        <v>485</v>
      </c>
      <c r="V25" s="35"/>
      <c r="W25" s="35"/>
      <c r="X25" s="35"/>
    </row>
    <row r="26" spans="1:24" ht="140" x14ac:dyDescent="0.3">
      <c r="A26" s="14">
        <v>311</v>
      </c>
      <c r="B26" s="15" t="s">
        <v>266</v>
      </c>
      <c r="C26" s="16" t="s">
        <v>209</v>
      </c>
      <c r="D26" s="14" t="s">
        <v>265</v>
      </c>
      <c r="E26" s="14" t="s">
        <v>235</v>
      </c>
      <c r="F26" s="14">
        <v>5</v>
      </c>
      <c r="G26" s="14" t="s">
        <v>282</v>
      </c>
      <c r="H26" s="14"/>
      <c r="I26" s="14"/>
      <c r="J26" s="14"/>
      <c r="K26" s="14" t="s">
        <v>256</v>
      </c>
      <c r="L26" s="14">
        <v>3</v>
      </c>
      <c r="M26" s="14" t="s">
        <v>3</v>
      </c>
      <c r="N26" s="14" t="s">
        <v>3</v>
      </c>
      <c r="O26" s="17" t="s">
        <v>272</v>
      </c>
      <c r="P26" s="14" t="s">
        <v>271</v>
      </c>
      <c r="Q26" s="14" t="s">
        <v>268</v>
      </c>
      <c r="R26" s="18" t="s">
        <v>270</v>
      </c>
      <c r="S26" s="14" t="s">
        <v>269</v>
      </c>
      <c r="T26" s="19" t="s">
        <v>267</v>
      </c>
      <c r="U26" s="14" t="s">
        <v>252</v>
      </c>
    </row>
    <row r="27" spans="1:24" ht="140" x14ac:dyDescent="0.3">
      <c r="A27" s="14">
        <f t="shared" si="0"/>
        <v>312</v>
      </c>
      <c r="B27" s="15" t="s">
        <v>266</v>
      </c>
      <c r="C27" s="16" t="s">
        <v>209</v>
      </c>
      <c r="D27" s="14" t="s">
        <v>265</v>
      </c>
      <c r="E27" s="14" t="s">
        <v>236</v>
      </c>
      <c r="F27" s="14">
        <v>5</v>
      </c>
      <c r="G27" s="14" t="s">
        <v>282</v>
      </c>
      <c r="H27" s="14"/>
      <c r="I27" s="14"/>
      <c r="J27" s="14"/>
      <c r="K27" s="14" t="s">
        <v>255</v>
      </c>
      <c r="L27" s="14">
        <v>5</v>
      </c>
      <c r="M27" s="14" t="s">
        <v>3</v>
      </c>
      <c r="N27" s="14" t="s">
        <v>3</v>
      </c>
      <c r="O27" s="17" t="s">
        <v>272</v>
      </c>
      <c r="P27" s="14" t="s">
        <v>271</v>
      </c>
      <c r="Q27" s="14" t="s">
        <v>268</v>
      </c>
      <c r="R27" s="18" t="s">
        <v>273</v>
      </c>
      <c r="S27" s="14" t="s">
        <v>269</v>
      </c>
      <c r="T27" s="19" t="s">
        <v>267</v>
      </c>
      <c r="U27" s="14" t="s">
        <v>251</v>
      </c>
    </row>
    <row r="28" spans="1:24" ht="140" x14ac:dyDescent="0.3">
      <c r="A28" s="14">
        <f t="shared" si="0"/>
        <v>313</v>
      </c>
      <c r="B28" s="15" t="s">
        <v>266</v>
      </c>
      <c r="C28" s="16" t="s">
        <v>209</v>
      </c>
      <c r="D28" s="14" t="s">
        <v>265</v>
      </c>
      <c r="E28" s="14" t="s">
        <v>237</v>
      </c>
      <c r="F28" s="14">
        <v>5</v>
      </c>
      <c r="G28" s="14" t="s">
        <v>282</v>
      </c>
      <c r="H28" s="14"/>
      <c r="I28" s="14"/>
      <c r="J28" s="14"/>
      <c r="K28" s="14" t="s">
        <v>257</v>
      </c>
      <c r="L28" s="14">
        <v>5</v>
      </c>
      <c r="M28" s="14" t="s">
        <v>3</v>
      </c>
      <c r="N28" s="14" t="s">
        <v>3</v>
      </c>
      <c r="O28" s="17" t="s">
        <v>272</v>
      </c>
      <c r="P28" s="14" t="s">
        <v>271</v>
      </c>
      <c r="Q28" s="14" t="s">
        <v>268</v>
      </c>
      <c r="R28" s="18" t="s">
        <v>274</v>
      </c>
      <c r="S28" s="14" t="s">
        <v>269</v>
      </c>
      <c r="T28" s="19" t="s">
        <v>267</v>
      </c>
      <c r="U28" s="14" t="s">
        <v>250</v>
      </c>
    </row>
    <row r="29" spans="1:24" ht="140" x14ac:dyDescent="0.3">
      <c r="A29" s="14">
        <f t="shared" si="0"/>
        <v>314</v>
      </c>
      <c r="B29" s="15" t="s">
        <v>266</v>
      </c>
      <c r="C29" s="16" t="s">
        <v>209</v>
      </c>
      <c r="D29" s="14" t="s">
        <v>265</v>
      </c>
      <c r="E29" s="14" t="s">
        <v>238</v>
      </c>
      <c r="F29" s="14">
        <v>5</v>
      </c>
      <c r="G29" s="14" t="s">
        <v>282</v>
      </c>
      <c r="H29" s="14"/>
      <c r="I29" s="14"/>
      <c r="J29" s="14"/>
      <c r="K29" s="14" t="s">
        <v>264</v>
      </c>
      <c r="L29" s="14">
        <v>1</v>
      </c>
      <c r="M29" s="14" t="s">
        <v>3</v>
      </c>
      <c r="N29" s="14" t="s">
        <v>3</v>
      </c>
      <c r="O29" s="17" t="s">
        <v>272</v>
      </c>
      <c r="P29" s="14" t="s">
        <v>271</v>
      </c>
      <c r="Q29" s="14" t="s">
        <v>268</v>
      </c>
      <c r="R29" s="18" t="s">
        <v>275</v>
      </c>
      <c r="S29" s="14" t="s">
        <v>269</v>
      </c>
      <c r="T29" s="19" t="s">
        <v>267</v>
      </c>
      <c r="U29" s="14" t="s">
        <v>248</v>
      </c>
    </row>
    <row r="30" spans="1:24" ht="140" x14ac:dyDescent="0.3">
      <c r="A30" s="14">
        <f t="shared" si="0"/>
        <v>315</v>
      </c>
      <c r="B30" s="15" t="s">
        <v>266</v>
      </c>
      <c r="C30" s="16" t="s">
        <v>209</v>
      </c>
      <c r="D30" s="14" t="s">
        <v>265</v>
      </c>
      <c r="E30" s="14" t="s">
        <v>339</v>
      </c>
      <c r="F30" s="14">
        <v>5</v>
      </c>
      <c r="G30" s="14" t="s">
        <v>282</v>
      </c>
      <c r="H30" s="14"/>
      <c r="I30" s="14"/>
      <c r="J30" s="14"/>
      <c r="K30" s="14" t="s">
        <v>258</v>
      </c>
      <c r="L30" s="14">
        <v>3</v>
      </c>
      <c r="M30" s="14" t="s">
        <v>3</v>
      </c>
      <c r="N30" s="14" t="s">
        <v>3</v>
      </c>
      <c r="O30" s="17" t="s">
        <v>272</v>
      </c>
      <c r="P30" s="14" t="s">
        <v>271</v>
      </c>
      <c r="Q30" s="14" t="s">
        <v>268</v>
      </c>
      <c r="R30" s="18" t="s">
        <v>276</v>
      </c>
      <c r="S30" s="14" t="s">
        <v>269</v>
      </c>
      <c r="T30" s="19" t="s">
        <v>267</v>
      </c>
      <c r="U30" s="14" t="s">
        <v>249</v>
      </c>
    </row>
    <row r="31" spans="1:24" ht="140" x14ac:dyDescent="0.3">
      <c r="A31" s="14">
        <f t="shared" si="0"/>
        <v>316</v>
      </c>
      <c r="B31" s="15" t="s">
        <v>266</v>
      </c>
      <c r="C31" s="16" t="s">
        <v>209</v>
      </c>
      <c r="D31" s="14" t="s">
        <v>265</v>
      </c>
      <c r="E31" s="14" t="s">
        <v>239</v>
      </c>
      <c r="F31" s="14">
        <v>5</v>
      </c>
      <c r="G31" s="14" t="s">
        <v>282</v>
      </c>
      <c r="H31" s="14"/>
      <c r="I31" s="14"/>
      <c r="J31" s="14"/>
      <c r="K31" s="14" t="s">
        <v>259</v>
      </c>
      <c r="L31" s="14">
        <v>5</v>
      </c>
      <c r="M31" s="14" t="s">
        <v>3</v>
      </c>
      <c r="N31" s="14" t="s">
        <v>3</v>
      </c>
      <c r="O31" s="17" t="s">
        <v>272</v>
      </c>
      <c r="P31" s="14" t="s">
        <v>271</v>
      </c>
      <c r="Q31" s="14" t="s">
        <v>268</v>
      </c>
      <c r="R31" s="18" t="s">
        <v>277</v>
      </c>
      <c r="S31" s="14" t="s">
        <v>269</v>
      </c>
      <c r="T31" s="19" t="s">
        <v>267</v>
      </c>
      <c r="U31" s="14" t="s">
        <v>247</v>
      </c>
    </row>
    <row r="32" spans="1:24" ht="140" x14ac:dyDescent="0.3">
      <c r="A32" s="14">
        <f t="shared" si="0"/>
        <v>317</v>
      </c>
      <c r="B32" s="15" t="s">
        <v>245</v>
      </c>
      <c r="C32" s="16" t="s">
        <v>209</v>
      </c>
      <c r="D32" s="14" t="s">
        <v>265</v>
      </c>
      <c r="E32" s="14" t="s">
        <v>240</v>
      </c>
      <c r="F32" s="14">
        <v>1</v>
      </c>
      <c r="G32" s="14" t="s">
        <v>282</v>
      </c>
      <c r="H32" s="14" t="s">
        <v>283</v>
      </c>
      <c r="I32" s="14"/>
      <c r="J32" s="14"/>
      <c r="K32" s="14" t="s">
        <v>260</v>
      </c>
      <c r="L32" s="14">
        <v>1</v>
      </c>
      <c r="M32" s="14" t="s">
        <v>3</v>
      </c>
      <c r="N32" s="14" t="s">
        <v>3</v>
      </c>
      <c r="O32" s="17" t="s">
        <v>272</v>
      </c>
      <c r="P32" s="14" t="s">
        <v>271</v>
      </c>
      <c r="Q32" s="14" t="s">
        <v>268</v>
      </c>
      <c r="R32" s="18" t="s">
        <v>278</v>
      </c>
      <c r="S32" s="14" t="s">
        <v>269</v>
      </c>
      <c r="T32" s="19" t="s">
        <v>267</v>
      </c>
      <c r="U32" s="14" t="s">
        <v>244</v>
      </c>
    </row>
    <row r="33" spans="1:24" ht="140" x14ac:dyDescent="0.3">
      <c r="A33" s="14">
        <f t="shared" si="0"/>
        <v>318</v>
      </c>
      <c r="B33" s="15" t="s">
        <v>245</v>
      </c>
      <c r="C33" s="16" t="s">
        <v>209</v>
      </c>
      <c r="D33" s="14" t="s">
        <v>265</v>
      </c>
      <c r="E33" s="14" t="s">
        <v>254</v>
      </c>
      <c r="F33" s="14">
        <v>3</v>
      </c>
      <c r="G33" s="14" t="s">
        <v>282</v>
      </c>
      <c r="H33" s="14" t="s">
        <v>283</v>
      </c>
      <c r="I33" s="14"/>
      <c r="J33" s="14"/>
      <c r="K33" s="14" t="s">
        <v>261</v>
      </c>
      <c r="L33" s="14">
        <v>1</v>
      </c>
      <c r="M33" s="14" t="s">
        <v>3</v>
      </c>
      <c r="N33" s="14" t="s">
        <v>3</v>
      </c>
      <c r="O33" s="17" t="s">
        <v>272</v>
      </c>
      <c r="P33" s="14" t="s">
        <v>271</v>
      </c>
      <c r="Q33" s="14" t="s">
        <v>268</v>
      </c>
      <c r="R33" s="18" t="s">
        <v>279</v>
      </c>
      <c r="S33" s="14" t="s">
        <v>269</v>
      </c>
      <c r="T33" s="19" t="s">
        <v>267</v>
      </c>
      <c r="U33" s="14" t="s">
        <v>243</v>
      </c>
    </row>
    <row r="34" spans="1:24" ht="140" x14ac:dyDescent="0.3">
      <c r="A34" s="14">
        <f t="shared" si="0"/>
        <v>319</v>
      </c>
      <c r="B34" s="15" t="s">
        <v>245</v>
      </c>
      <c r="C34" s="16" t="s">
        <v>209</v>
      </c>
      <c r="D34" s="14" t="s">
        <v>265</v>
      </c>
      <c r="E34" s="14" t="s">
        <v>253</v>
      </c>
      <c r="F34" s="14">
        <v>3</v>
      </c>
      <c r="G34" s="14" t="s">
        <v>282</v>
      </c>
      <c r="H34" s="14" t="s">
        <v>283</v>
      </c>
      <c r="I34" s="14"/>
      <c r="J34" s="14"/>
      <c r="K34" s="14" t="s">
        <v>262</v>
      </c>
      <c r="L34" s="14">
        <v>1</v>
      </c>
      <c r="M34" s="14" t="s">
        <v>3</v>
      </c>
      <c r="N34" s="14" t="s">
        <v>3</v>
      </c>
      <c r="O34" s="17" t="s">
        <v>272</v>
      </c>
      <c r="P34" s="14" t="s">
        <v>271</v>
      </c>
      <c r="Q34" s="14" t="s">
        <v>268</v>
      </c>
      <c r="R34" s="18" t="s">
        <v>280</v>
      </c>
      <c r="S34" s="14" t="s">
        <v>269</v>
      </c>
      <c r="T34" s="19" t="s">
        <v>267</v>
      </c>
      <c r="U34" s="14" t="s">
        <v>246</v>
      </c>
    </row>
    <row r="35" spans="1:24" ht="140" x14ac:dyDescent="0.3">
      <c r="A35" s="14">
        <f t="shared" si="0"/>
        <v>320</v>
      </c>
      <c r="B35" s="15" t="s">
        <v>245</v>
      </c>
      <c r="C35" s="16" t="s">
        <v>209</v>
      </c>
      <c r="D35" s="14" t="s">
        <v>265</v>
      </c>
      <c r="E35" s="14" t="s">
        <v>241</v>
      </c>
      <c r="F35" s="14">
        <v>3</v>
      </c>
      <c r="G35" s="14" t="s">
        <v>282</v>
      </c>
      <c r="H35" s="14" t="s">
        <v>283</v>
      </c>
      <c r="I35" s="14"/>
      <c r="J35" s="14"/>
      <c r="K35" s="14" t="s">
        <v>263</v>
      </c>
      <c r="L35" s="14">
        <v>1</v>
      </c>
      <c r="M35" s="14" t="s">
        <v>3</v>
      </c>
      <c r="N35" s="14" t="s">
        <v>3</v>
      </c>
      <c r="O35" s="17" t="s">
        <v>272</v>
      </c>
      <c r="P35" s="14" t="s">
        <v>271</v>
      </c>
      <c r="Q35" s="14" t="s">
        <v>268</v>
      </c>
      <c r="R35" s="18" t="s">
        <v>281</v>
      </c>
      <c r="S35" s="14" t="s">
        <v>269</v>
      </c>
      <c r="T35" s="19" t="s">
        <v>267</v>
      </c>
      <c r="U35" s="14" t="s">
        <v>242</v>
      </c>
    </row>
    <row r="36" spans="1:24" ht="240" x14ac:dyDescent="0.3">
      <c r="A36" s="14">
        <f t="shared" si="0"/>
        <v>321</v>
      </c>
      <c r="B36" s="15" t="s">
        <v>91</v>
      </c>
      <c r="C36" s="16" t="s">
        <v>209</v>
      </c>
      <c r="D36" s="14" t="s">
        <v>265</v>
      </c>
      <c r="E36" s="14" t="s">
        <v>287</v>
      </c>
      <c r="F36" s="14">
        <v>5</v>
      </c>
      <c r="G36" s="14" t="s">
        <v>286</v>
      </c>
      <c r="H36" s="14"/>
      <c r="I36" s="14"/>
      <c r="J36" s="14"/>
      <c r="K36" s="14" t="s">
        <v>288</v>
      </c>
      <c r="L36" s="14">
        <v>8</v>
      </c>
      <c r="M36" s="14" t="s">
        <v>3</v>
      </c>
      <c r="N36" s="14" t="s">
        <v>3</v>
      </c>
      <c r="O36" s="17" t="s">
        <v>289</v>
      </c>
      <c r="P36" s="14" t="s">
        <v>271</v>
      </c>
      <c r="Q36" s="14" t="s">
        <v>290</v>
      </c>
      <c r="R36" s="18" t="s">
        <v>285</v>
      </c>
      <c r="S36" s="14" t="s">
        <v>291</v>
      </c>
      <c r="T36" s="14" t="s">
        <v>292</v>
      </c>
      <c r="U36" s="14" t="s">
        <v>284</v>
      </c>
    </row>
    <row r="37" spans="1:24" ht="300" x14ac:dyDescent="0.3">
      <c r="A37" s="14">
        <f t="shared" si="0"/>
        <v>322</v>
      </c>
      <c r="B37" s="15" t="s">
        <v>91</v>
      </c>
      <c r="C37" s="16" t="s">
        <v>209</v>
      </c>
      <c r="D37" s="14" t="s">
        <v>265</v>
      </c>
      <c r="E37" s="14" t="s">
        <v>294</v>
      </c>
      <c r="F37" s="14">
        <v>4</v>
      </c>
      <c r="G37" s="14" t="s">
        <v>295</v>
      </c>
      <c r="H37" s="14"/>
      <c r="I37" s="14"/>
      <c r="J37" s="14"/>
      <c r="K37" s="14" t="s">
        <v>296</v>
      </c>
      <c r="L37" s="14">
        <v>11</v>
      </c>
      <c r="M37" s="14" t="s">
        <v>3</v>
      </c>
      <c r="N37" s="14"/>
      <c r="O37" s="17" t="s">
        <v>309</v>
      </c>
      <c r="P37" s="14" t="s">
        <v>298</v>
      </c>
      <c r="Q37" s="14" t="s">
        <v>297</v>
      </c>
      <c r="R37" s="18" t="s">
        <v>299</v>
      </c>
      <c r="S37" s="14" t="s">
        <v>300</v>
      </c>
      <c r="T37" s="19" t="s">
        <v>293</v>
      </c>
      <c r="U37" s="14" t="s">
        <v>308</v>
      </c>
    </row>
    <row r="38" spans="1:24" ht="409" x14ac:dyDescent="0.3">
      <c r="A38" s="14">
        <f t="shared" si="0"/>
        <v>323</v>
      </c>
      <c r="B38" s="15" t="s">
        <v>91</v>
      </c>
      <c r="C38" s="16" t="s">
        <v>209</v>
      </c>
      <c r="D38" s="14" t="s">
        <v>265</v>
      </c>
      <c r="E38" s="14" t="s">
        <v>301</v>
      </c>
      <c r="F38" s="14">
        <v>4</v>
      </c>
      <c r="G38" s="14" t="s">
        <v>302</v>
      </c>
      <c r="H38" s="14"/>
      <c r="I38" s="14"/>
      <c r="J38" s="14"/>
      <c r="K38" s="14" t="s">
        <v>303</v>
      </c>
      <c r="L38" s="14">
        <v>10</v>
      </c>
      <c r="M38" s="14" t="s">
        <v>3</v>
      </c>
      <c r="N38" s="14"/>
      <c r="O38" s="17" t="s">
        <v>310</v>
      </c>
      <c r="P38" s="14" t="s">
        <v>298</v>
      </c>
      <c r="Q38" s="14" t="s">
        <v>297</v>
      </c>
      <c r="R38" s="18" t="s">
        <v>306</v>
      </c>
      <c r="S38" s="14" t="s">
        <v>305</v>
      </c>
      <c r="T38" s="14" t="s">
        <v>304</v>
      </c>
      <c r="U38" s="14" t="s">
        <v>307</v>
      </c>
    </row>
    <row r="39" spans="1:24" ht="220" x14ac:dyDescent="0.3">
      <c r="A39" s="14">
        <f t="shared" si="0"/>
        <v>324</v>
      </c>
      <c r="B39" s="15" t="s">
        <v>11</v>
      </c>
      <c r="C39" s="16" t="s">
        <v>209</v>
      </c>
      <c r="D39" s="14" t="s">
        <v>335</v>
      </c>
      <c r="E39" s="14" t="s">
        <v>317</v>
      </c>
      <c r="F39" s="14">
        <v>4</v>
      </c>
      <c r="G39" s="14" t="s">
        <v>316</v>
      </c>
      <c r="H39" s="14"/>
      <c r="I39" s="14"/>
      <c r="J39" s="14"/>
      <c r="K39" s="14" t="s">
        <v>315</v>
      </c>
      <c r="L39" s="14">
        <v>4</v>
      </c>
      <c r="M39" s="14" t="s">
        <v>3</v>
      </c>
      <c r="N39" s="14"/>
      <c r="O39" s="17" t="s">
        <v>289</v>
      </c>
      <c r="P39" s="14" t="s">
        <v>298</v>
      </c>
      <c r="Q39" s="14" t="s">
        <v>297</v>
      </c>
      <c r="R39" s="18" t="s">
        <v>314</v>
      </c>
      <c r="S39" s="14" t="s">
        <v>313</v>
      </c>
      <c r="T39" s="14" t="s">
        <v>312</v>
      </c>
      <c r="U39" s="14" t="s">
        <v>311</v>
      </c>
    </row>
    <row r="40" spans="1:24" s="21" customFormat="1" ht="409" x14ac:dyDescent="0.3">
      <c r="A40" s="20">
        <v>330</v>
      </c>
      <c r="B40" s="6" t="s">
        <v>341</v>
      </c>
      <c r="C40" s="6"/>
      <c r="D40" s="6" t="s">
        <v>342</v>
      </c>
      <c r="E40" s="22" t="s">
        <v>343</v>
      </c>
      <c r="F40" s="7"/>
      <c r="G40" s="23" t="s">
        <v>344</v>
      </c>
      <c r="H40" s="6" t="s">
        <v>345</v>
      </c>
      <c r="I40" s="7"/>
      <c r="J40" s="7"/>
      <c r="K40" s="6" t="s">
        <v>346</v>
      </c>
      <c r="L40" s="6">
        <v>12</v>
      </c>
      <c r="M40" s="6" t="s">
        <v>347</v>
      </c>
      <c r="N40" s="6" t="s">
        <v>348</v>
      </c>
      <c r="O40" s="6" t="s">
        <v>349</v>
      </c>
      <c r="P40" s="6" t="s">
        <v>189</v>
      </c>
      <c r="Q40" s="8" t="s">
        <v>350</v>
      </c>
      <c r="R40" s="6" t="s">
        <v>351</v>
      </c>
      <c r="S40" s="7"/>
      <c r="T40" s="8" t="s">
        <v>352</v>
      </c>
      <c r="U40" s="24" t="s">
        <v>353</v>
      </c>
      <c r="V40" s="35"/>
      <c r="W40" s="35"/>
      <c r="X40" s="35"/>
    </row>
    <row r="41" spans="1:24" s="21" customFormat="1" ht="140" x14ac:dyDescent="0.3">
      <c r="A41" s="20">
        <f t="shared" si="0"/>
        <v>331</v>
      </c>
      <c r="B41" s="6" t="s">
        <v>341</v>
      </c>
      <c r="C41" s="6" t="s">
        <v>354</v>
      </c>
      <c r="D41" s="6" t="s">
        <v>342</v>
      </c>
      <c r="E41" s="6" t="s">
        <v>355</v>
      </c>
      <c r="F41" s="7"/>
      <c r="G41" s="6" t="s">
        <v>356</v>
      </c>
      <c r="H41" s="6" t="s">
        <v>357</v>
      </c>
      <c r="I41" s="7"/>
      <c r="J41" s="7"/>
      <c r="K41" s="6" t="s">
        <v>358</v>
      </c>
      <c r="L41" s="7"/>
      <c r="M41" s="7"/>
      <c r="N41" s="7"/>
      <c r="O41" s="7"/>
      <c r="P41" s="7"/>
      <c r="Q41" s="7"/>
      <c r="R41" s="7"/>
      <c r="S41" s="7"/>
      <c r="T41" s="7"/>
      <c r="U41" s="6" t="s">
        <v>359</v>
      </c>
      <c r="V41" s="35"/>
      <c r="W41" s="35"/>
      <c r="X41" s="35"/>
    </row>
    <row r="42" spans="1:24" s="21" customFormat="1" ht="300" x14ac:dyDescent="0.3">
      <c r="A42" s="20">
        <f t="shared" si="0"/>
        <v>332</v>
      </c>
      <c r="B42" s="6" t="s">
        <v>341</v>
      </c>
      <c r="C42" s="6"/>
      <c r="D42" s="6" t="s">
        <v>342</v>
      </c>
      <c r="E42" s="6" t="s">
        <v>360</v>
      </c>
      <c r="F42" s="7"/>
      <c r="G42" s="6" t="s">
        <v>361</v>
      </c>
      <c r="H42" s="25" t="s">
        <v>362</v>
      </c>
      <c r="I42" s="7"/>
      <c r="J42" s="7"/>
      <c r="K42" s="6" t="s">
        <v>363</v>
      </c>
      <c r="L42" s="6">
        <v>9</v>
      </c>
      <c r="M42" s="6" t="s">
        <v>347</v>
      </c>
      <c r="N42" s="7"/>
      <c r="O42" s="6" t="s">
        <v>364</v>
      </c>
      <c r="P42" s="6" t="s">
        <v>189</v>
      </c>
      <c r="Q42" s="8" t="s">
        <v>365</v>
      </c>
      <c r="R42" s="6">
        <v>34952053711</v>
      </c>
      <c r="S42" s="7"/>
      <c r="T42" s="8" t="s">
        <v>366</v>
      </c>
      <c r="U42" s="6" t="s">
        <v>367</v>
      </c>
      <c r="V42" s="35"/>
      <c r="W42" s="35"/>
      <c r="X42" s="35"/>
    </row>
    <row r="43" spans="1:24" s="21" customFormat="1" ht="240" x14ac:dyDescent="0.3">
      <c r="A43" s="20">
        <f t="shared" si="0"/>
        <v>333</v>
      </c>
      <c r="B43" s="6" t="s">
        <v>368</v>
      </c>
      <c r="C43" s="6"/>
      <c r="D43" s="6" t="s">
        <v>342</v>
      </c>
      <c r="E43" s="6" t="s">
        <v>369</v>
      </c>
      <c r="F43" s="7"/>
      <c r="G43" s="6" t="s">
        <v>370</v>
      </c>
      <c r="H43" s="6" t="s">
        <v>371</v>
      </c>
      <c r="I43" s="7"/>
      <c r="J43" s="7"/>
      <c r="K43" s="26" t="s">
        <v>372</v>
      </c>
      <c r="L43" s="7"/>
      <c r="M43" s="7"/>
      <c r="N43" s="7"/>
      <c r="O43" s="7"/>
      <c r="P43" s="6" t="s">
        <v>373</v>
      </c>
      <c r="Q43" s="8" t="s">
        <v>374</v>
      </c>
      <c r="R43" s="6">
        <v>34627819891</v>
      </c>
      <c r="S43" s="6" t="s">
        <v>375</v>
      </c>
      <c r="T43" s="8" t="s">
        <v>376</v>
      </c>
      <c r="U43" s="6" t="s">
        <v>377</v>
      </c>
      <c r="V43" s="35"/>
      <c r="W43" s="35"/>
      <c r="X43" s="35"/>
    </row>
    <row r="44" spans="1:24" s="21" customFormat="1" ht="80" x14ac:dyDescent="0.3">
      <c r="A44" s="20">
        <f t="shared" si="0"/>
        <v>334</v>
      </c>
      <c r="B44" s="6" t="s">
        <v>368</v>
      </c>
      <c r="C44" s="6"/>
      <c r="D44" s="6" t="s">
        <v>378</v>
      </c>
      <c r="E44" s="6" t="s">
        <v>379</v>
      </c>
      <c r="F44" s="7"/>
      <c r="G44" s="6" t="s">
        <v>380</v>
      </c>
      <c r="H44" s="6" t="s">
        <v>381</v>
      </c>
      <c r="I44" s="7"/>
      <c r="J44" s="7"/>
      <c r="K44" s="7"/>
      <c r="L44" s="7"/>
      <c r="M44" s="7"/>
      <c r="N44" s="7"/>
      <c r="O44" s="7"/>
      <c r="P44" s="7"/>
      <c r="Q44" s="7"/>
      <c r="R44" s="27" t="s">
        <v>382</v>
      </c>
      <c r="S44" s="6" t="s">
        <v>383</v>
      </c>
      <c r="T44" s="8" t="s">
        <v>384</v>
      </c>
      <c r="U44" s="7"/>
      <c r="V44" s="35"/>
      <c r="W44" s="35"/>
      <c r="X44" s="35"/>
    </row>
    <row r="45" spans="1:24" s="21" customFormat="1" ht="260" x14ac:dyDescent="0.3">
      <c r="A45" s="20">
        <f t="shared" si="0"/>
        <v>335</v>
      </c>
      <c r="B45" s="6" t="s">
        <v>341</v>
      </c>
      <c r="C45" s="6"/>
      <c r="D45" s="6" t="s">
        <v>385</v>
      </c>
      <c r="E45" s="6" t="s">
        <v>386</v>
      </c>
      <c r="F45" s="7"/>
      <c r="G45" s="6" t="s">
        <v>387</v>
      </c>
      <c r="H45" s="6" t="s">
        <v>388</v>
      </c>
      <c r="I45" s="7"/>
      <c r="J45" s="7"/>
      <c r="K45" s="6" t="s">
        <v>389</v>
      </c>
      <c r="L45" s="6">
        <v>22</v>
      </c>
      <c r="M45" s="6" t="s">
        <v>347</v>
      </c>
      <c r="N45" s="7"/>
      <c r="O45" s="6" t="s">
        <v>390</v>
      </c>
      <c r="P45" s="28" t="s">
        <v>201</v>
      </c>
      <c r="Q45" s="8" t="s">
        <v>391</v>
      </c>
      <c r="R45" s="6" t="s">
        <v>392</v>
      </c>
      <c r="S45" s="6" t="s">
        <v>393</v>
      </c>
      <c r="T45" s="8" t="s">
        <v>394</v>
      </c>
      <c r="U45" s="6" t="s">
        <v>395</v>
      </c>
      <c r="V45" s="35"/>
      <c r="W45" s="35"/>
      <c r="X45" s="35"/>
    </row>
    <row r="46" spans="1:24" s="21" customFormat="1" ht="280" x14ac:dyDescent="0.3">
      <c r="A46" s="20">
        <f t="shared" si="0"/>
        <v>336</v>
      </c>
      <c r="B46" s="6" t="s">
        <v>368</v>
      </c>
      <c r="C46" s="6"/>
      <c r="D46" s="6" t="s">
        <v>385</v>
      </c>
      <c r="E46" s="6" t="s">
        <v>396</v>
      </c>
      <c r="F46" s="7"/>
      <c r="G46" s="6" t="s">
        <v>397</v>
      </c>
      <c r="H46" s="6" t="s">
        <v>398</v>
      </c>
      <c r="I46" s="7"/>
      <c r="J46" s="7"/>
      <c r="K46" s="6" t="s">
        <v>399</v>
      </c>
      <c r="L46" s="7"/>
      <c r="M46" s="6" t="s">
        <v>347</v>
      </c>
      <c r="N46" s="7"/>
      <c r="O46" s="6" t="s">
        <v>400</v>
      </c>
      <c r="P46" s="28" t="s">
        <v>201</v>
      </c>
      <c r="Q46" s="8" t="s">
        <v>401</v>
      </c>
      <c r="R46" s="6" t="s">
        <v>402</v>
      </c>
      <c r="S46" s="6" t="s">
        <v>403</v>
      </c>
      <c r="T46" s="8" t="s">
        <v>401</v>
      </c>
      <c r="U46" s="6" t="s">
        <v>404</v>
      </c>
      <c r="V46" s="35"/>
      <c r="W46" s="35"/>
      <c r="X46" s="35"/>
    </row>
    <row r="47" spans="1:24" s="21" customFormat="1" ht="160" x14ac:dyDescent="0.3">
      <c r="A47" s="20">
        <f t="shared" si="0"/>
        <v>337</v>
      </c>
      <c r="B47" s="6" t="s">
        <v>341</v>
      </c>
      <c r="C47" s="6"/>
      <c r="D47" s="6" t="s">
        <v>405</v>
      </c>
      <c r="E47" s="6" t="s">
        <v>406</v>
      </c>
      <c r="F47" s="7"/>
      <c r="G47" s="6" t="s">
        <v>407</v>
      </c>
      <c r="H47" s="6" t="s">
        <v>408</v>
      </c>
      <c r="I47" s="7"/>
      <c r="J47" s="7"/>
      <c r="K47" s="6" t="s">
        <v>409</v>
      </c>
      <c r="L47" s="7"/>
      <c r="M47" s="7"/>
      <c r="N47" s="7"/>
      <c r="O47" s="7"/>
      <c r="P47" s="6" t="s">
        <v>189</v>
      </c>
      <c r="Q47" s="8" t="s">
        <v>410</v>
      </c>
      <c r="R47" s="6" t="s">
        <v>411</v>
      </c>
      <c r="S47" s="6" t="s">
        <v>412</v>
      </c>
      <c r="T47" s="8" t="s">
        <v>413</v>
      </c>
      <c r="U47" s="6" t="s">
        <v>414</v>
      </c>
      <c r="V47" s="35"/>
      <c r="W47" s="35"/>
      <c r="X47" s="35"/>
    </row>
    <row r="48" spans="1:24" s="21" customFormat="1" ht="409" x14ac:dyDescent="0.3">
      <c r="A48" s="20">
        <f t="shared" si="0"/>
        <v>338</v>
      </c>
      <c r="B48" s="6" t="s">
        <v>341</v>
      </c>
      <c r="C48" s="6"/>
      <c r="D48" s="6" t="s">
        <v>405</v>
      </c>
      <c r="E48" s="6" t="s">
        <v>415</v>
      </c>
      <c r="F48" s="7"/>
      <c r="G48" s="6" t="s">
        <v>416</v>
      </c>
      <c r="H48" s="6" t="s">
        <v>417</v>
      </c>
      <c r="I48" s="7"/>
      <c r="J48" s="7"/>
      <c r="K48" s="32"/>
      <c r="L48" s="7"/>
      <c r="M48" s="7"/>
      <c r="N48" s="6"/>
      <c r="O48" s="6" t="s">
        <v>418</v>
      </c>
      <c r="P48" s="6" t="s">
        <v>189</v>
      </c>
      <c r="Q48" s="8" t="s">
        <v>419</v>
      </c>
      <c r="R48" s="6" t="s">
        <v>420</v>
      </c>
      <c r="S48" s="6" t="s">
        <v>421</v>
      </c>
      <c r="T48" s="29" t="s">
        <v>422</v>
      </c>
      <c r="U48" s="7"/>
      <c r="V48" s="35"/>
      <c r="W48" s="35"/>
      <c r="X48" s="35"/>
    </row>
    <row r="49" spans="1:24" s="21" customFormat="1" ht="220" x14ac:dyDescent="0.3">
      <c r="A49" s="20">
        <f t="shared" si="0"/>
        <v>339</v>
      </c>
      <c r="B49" s="7"/>
      <c r="C49" s="6"/>
      <c r="D49" s="6" t="s">
        <v>405</v>
      </c>
      <c r="E49" s="6" t="s">
        <v>423</v>
      </c>
      <c r="F49" s="7"/>
      <c r="G49" s="6" t="s">
        <v>424</v>
      </c>
      <c r="H49" s="6" t="s">
        <v>425</v>
      </c>
      <c r="I49" s="7"/>
      <c r="J49" s="7"/>
      <c r="K49" s="32"/>
      <c r="L49" s="7"/>
      <c r="M49" s="7"/>
      <c r="N49" s="7"/>
      <c r="O49" s="7"/>
      <c r="P49" s="7"/>
      <c r="Q49" s="7"/>
      <c r="R49" s="6" t="s">
        <v>426</v>
      </c>
      <c r="S49" s="7"/>
      <c r="T49" s="7"/>
      <c r="U49" s="6" t="s">
        <v>427</v>
      </c>
      <c r="V49" s="35"/>
      <c r="W49" s="35"/>
      <c r="X49" s="35"/>
    </row>
    <row r="50" spans="1:24" s="21" customFormat="1" ht="100" x14ac:dyDescent="0.3">
      <c r="A50" s="20">
        <f t="shared" si="0"/>
        <v>340</v>
      </c>
      <c r="B50" s="6" t="s">
        <v>428</v>
      </c>
      <c r="C50" s="6"/>
      <c r="D50" s="6" t="s">
        <v>429</v>
      </c>
      <c r="E50" s="6" t="s">
        <v>430</v>
      </c>
      <c r="F50" s="7"/>
      <c r="G50" s="6" t="s">
        <v>431</v>
      </c>
      <c r="H50" s="6" t="s">
        <v>432</v>
      </c>
      <c r="I50" s="7"/>
      <c r="J50" s="7"/>
      <c r="K50" s="32"/>
      <c r="L50" s="7"/>
      <c r="M50" s="7"/>
      <c r="N50" s="6" t="s">
        <v>433</v>
      </c>
      <c r="O50" s="7"/>
      <c r="P50" s="28" t="s">
        <v>201</v>
      </c>
      <c r="Q50" s="8" t="s">
        <v>434</v>
      </c>
      <c r="R50" s="6" t="s">
        <v>435</v>
      </c>
      <c r="S50" s="6" t="s">
        <v>436</v>
      </c>
      <c r="T50" s="8" t="s">
        <v>434</v>
      </c>
      <c r="U50" s="6" t="s">
        <v>437</v>
      </c>
      <c r="V50" s="35"/>
      <c r="W50" s="35"/>
      <c r="X50" s="35"/>
    </row>
    <row r="51" spans="1:24" s="21" customFormat="1" ht="120" x14ac:dyDescent="0.3">
      <c r="A51" s="20">
        <f t="shared" si="0"/>
        <v>341</v>
      </c>
      <c r="B51" s="6" t="s">
        <v>368</v>
      </c>
      <c r="C51" s="6"/>
      <c r="D51" s="6" t="s">
        <v>438</v>
      </c>
      <c r="E51" s="6" t="s">
        <v>439</v>
      </c>
      <c r="F51" s="7"/>
      <c r="G51" s="6" t="s">
        <v>440</v>
      </c>
      <c r="H51" s="6" t="s">
        <v>441</v>
      </c>
      <c r="I51" s="7"/>
      <c r="J51" s="7"/>
      <c r="K51" s="6" t="s">
        <v>442</v>
      </c>
      <c r="L51" s="6">
        <v>4</v>
      </c>
      <c r="M51" s="7"/>
      <c r="N51" s="7"/>
      <c r="O51" s="7"/>
      <c r="P51" s="6" t="s">
        <v>189</v>
      </c>
      <c r="Q51" s="8" t="s">
        <v>443</v>
      </c>
      <c r="R51" s="6">
        <f>36-30-984-4225</f>
        <v>-5203</v>
      </c>
      <c r="S51" s="6" t="s">
        <v>444</v>
      </c>
      <c r="T51" s="8" t="s">
        <v>445</v>
      </c>
      <c r="U51" s="30" t="s">
        <v>446</v>
      </c>
      <c r="V51" s="35"/>
      <c r="W51" s="35"/>
      <c r="X51" s="35"/>
    </row>
    <row r="52" spans="1:24" s="21" customFormat="1" ht="280" x14ac:dyDescent="0.3">
      <c r="A52" s="20">
        <f t="shared" si="0"/>
        <v>342</v>
      </c>
      <c r="B52" s="7"/>
      <c r="C52" s="6"/>
      <c r="D52" s="6" t="s">
        <v>438</v>
      </c>
      <c r="E52" s="6" t="s">
        <v>447</v>
      </c>
      <c r="F52" s="7"/>
      <c r="G52" s="6" t="s">
        <v>448</v>
      </c>
      <c r="H52" s="6" t="s">
        <v>449</v>
      </c>
      <c r="I52" s="7"/>
      <c r="J52" s="7"/>
      <c r="K52" s="6" t="s">
        <v>450</v>
      </c>
      <c r="L52" s="7"/>
      <c r="M52" s="6" t="s">
        <v>347</v>
      </c>
      <c r="N52" s="7"/>
      <c r="O52" s="6" t="s">
        <v>451</v>
      </c>
      <c r="P52" s="6" t="s">
        <v>189</v>
      </c>
      <c r="Q52" s="8" t="s">
        <v>452</v>
      </c>
      <c r="R52" s="6" t="s">
        <v>453</v>
      </c>
      <c r="S52" s="6" t="s">
        <v>454</v>
      </c>
      <c r="T52" s="8" t="s">
        <v>452</v>
      </c>
      <c r="U52" s="7"/>
      <c r="V52" s="35"/>
      <c r="W52" s="35"/>
      <c r="X52" s="35"/>
    </row>
    <row r="53" spans="1:24" s="21" customFormat="1" ht="100" x14ac:dyDescent="0.3">
      <c r="A53" s="20">
        <f t="shared" si="0"/>
        <v>343</v>
      </c>
      <c r="B53" s="6" t="s">
        <v>428</v>
      </c>
      <c r="C53" s="6"/>
      <c r="D53" s="6" t="s">
        <v>438</v>
      </c>
      <c r="E53" s="6" t="s">
        <v>455</v>
      </c>
      <c r="F53" s="7"/>
      <c r="G53" s="6" t="s">
        <v>456</v>
      </c>
      <c r="H53" s="6" t="s">
        <v>457</v>
      </c>
      <c r="I53" s="7"/>
      <c r="J53" s="7"/>
      <c r="K53" s="6" t="s">
        <v>458</v>
      </c>
      <c r="L53" s="7"/>
      <c r="M53" s="6" t="s">
        <v>347</v>
      </c>
      <c r="N53" s="7"/>
      <c r="O53" s="7"/>
      <c r="P53" s="6" t="s">
        <v>188</v>
      </c>
      <c r="Q53" s="8" t="s">
        <v>459</v>
      </c>
      <c r="R53" s="7"/>
      <c r="S53" s="6" t="s">
        <v>460</v>
      </c>
      <c r="T53" s="8" t="s">
        <v>459</v>
      </c>
      <c r="U53" s="6" t="s">
        <v>461</v>
      </c>
      <c r="V53" s="35"/>
      <c r="W53" s="35"/>
      <c r="X53" s="35"/>
    </row>
    <row r="54" spans="1:24" s="21" customFormat="1" ht="320" x14ac:dyDescent="0.3">
      <c r="A54" s="20">
        <f t="shared" si="0"/>
        <v>344</v>
      </c>
      <c r="B54" s="6" t="s">
        <v>341</v>
      </c>
      <c r="C54" s="6"/>
      <c r="D54" s="6" t="s">
        <v>462</v>
      </c>
      <c r="E54" s="6" t="s">
        <v>463</v>
      </c>
      <c r="F54" s="7"/>
      <c r="G54" s="31" t="s">
        <v>464</v>
      </c>
      <c r="H54" s="6" t="s">
        <v>465</v>
      </c>
      <c r="I54" s="7"/>
      <c r="J54" s="7"/>
      <c r="K54" s="6" t="s">
        <v>466</v>
      </c>
      <c r="L54" s="7"/>
      <c r="M54" s="6" t="s">
        <v>347</v>
      </c>
      <c r="N54" s="7"/>
      <c r="O54" s="6" t="s">
        <v>467</v>
      </c>
      <c r="P54" s="6" t="s">
        <v>189</v>
      </c>
      <c r="Q54" s="8" t="s">
        <v>468</v>
      </c>
      <c r="R54" s="31" t="s">
        <v>469</v>
      </c>
      <c r="S54" s="31" t="s">
        <v>470</v>
      </c>
      <c r="T54" s="8" t="s">
        <v>471</v>
      </c>
      <c r="U54" s="6" t="s">
        <v>472</v>
      </c>
      <c r="V54" s="35"/>
      <c r="W54" s="35"/>
      <c r="X54" s="35"/>
    </row>
    <row r="55" spans="1:24" x14ac:dyDescent="0.3">
      <c r="A55" s="14"/>
      <c r="B55" s="15"/>
      <c r="C55" s="16"/>
      <c r="D55" s="14"/>
      <c r="E55" s="14"/>
      <c r="F55" s="14"/>
      <c r="G55" s="14"/>
      <c r="H55" s="14"/>
      <c r="I55" s="14"/>
      <c r="J55" s="14"/>
      <c r="K55" s="14"/>
      <c r="L55" s="14"/>
      <c r="M55" s="14"/>
      <c r="N55" s="14"/>
      <c r="O55" s="14"/>
      <c r="P55" s="14"/>
      <c r="Q55" s="18"/>
      <c r="R55" s="14"/>
      <c r="S55" s="14"/>
      <c r="T55" s="14"/>
      <c r="U55" s="14"/>
    </row>
    <row r="56" spans="1:24" x14ac:dyDescent="0.3">
      <c r="A56" s="14">
        <f>A39+1</f>
        <v>325</v>
      </c>
      <c r="B56" s="15"/>
      <c r="C56" s="16" t="s">
        <v>209</v>
      </c>
      <c r="D56" s="14" t="s">
        <v>318</v>
      </c>
      <c r="E56" s="14"/>
      <c r="F56" s="14"/>
      <c r="G56" s="14"/>
      <c r="H56" s="14"/>
      <c r="I56" s="14"/>
      <c r="J56" s="14"/>
      <c r="K56" s="14"/>
      <c r="L56" s="14"/>
      <c r="M56" s="14"/>
      <c r="N56" s="14"/>
      <c r="O56" s="14"/>
      <c r="P56" s="14"/>
      <c r="Q56" s="18"/>
      <c r="R56" s="14"/>
      <c r="S56" s="14"/>
      <c r="T56" s="14"/>
      <c r="U56" s="14"/>
    </row>
    <row r="57" spans="1:24" x14ac:dyDescent="0.3">
      <c r="A57" s="14">
        <f t="shared" si="0"/>
        <v>326</v>
      </c>
      <c r="B57" s="15"/>
      <c r="C57" s="16" t="s">
        <v>209</v>
      </c>
      <c r="D57" s="14" t="s">
        <v>318</v>
      </c>
      <c r="E57" s="14"/>
      <c r="F57" s="14"/>
      <c r="G57" s="14"/>
      <c r="H57" s="14"/>
      <c r="I57" s="14"/>
      <c r="J57" s="14"/>
      <c r="K57" s="14"/>
      <c r="L57" s="14"/>
      <c r="M57" s="14"/>
      <c r="N57" s="14"/>
      <c r="O57" s="14"/>
      <c r="P57" s="14"/>
      <c r="Q57" s="18"/>
      <c r="R57" s="14"/>
      <c r="S57" s="14"/>
      <c r="T57" s="14"/>
      <c r="U57" s="14"/>
    </row>
    <row r="58" spans="1:24" x14ac:dyDescent="0.3">
      <c r="A58" s="14">
        <f t="shared" si="0"/>
        <v>327</v>
      </c>
      <c r="B58" s="15"/>
      <c r="C58" s="16" t="s">
        <v>321</v>
      </c>
      <c r="D58" s="14" t="s">
        <v>319</v>
      </c>
      <c r="E58" s="14"/>
      <c r="F58" s="14"/>
      <c r="G58" s="14"/>
      <c r="H58" s="14"/>
      <c r="I58" s="14"/>
      <c r="J58" s="14"/>
      <c r="K58" s="14"/>
      <c r="L58" s="14"/>
      <c r="M58" s="14"/>
      <c r="N58" s="14"/>
      <c r="O58" s="14"/>
      <c r="P58" s="14"/>
      <c r="Q58" s="18"/>
      <c r="R58" s="14"/>
      <c r="S58" s="14"/>
      <c r="T58" s="14"/>
      <c r="U58" s="14"/>
    </row>
    <row r="59" spans="1:24" x14ac:dyDescent="0.3">
      <c r="A59" s="14">
        <v>401</v>
      </c>
      <c r="B59" s="15"/>
      <c r="C59" s="16" t="s">
        <v>321</v>
      </c>
      <c r="D59" s="14" t="s">
        <v>320</v>
      </c>
      <c r="E59" s="14"/>
      <c r="F59" s="14"/>
      <c r="G59" s="14"/>
      <c r="H59" s="14"/>
      <c r="I59" s="14"/>
      <c r="J59" s="14"/>
      <c r="K59" s="14"/>
      <c r="L59" s="14"/>
      <c r="M59" s="14"/>
      <c r="N59" s="14"/>
      <c r="O59" s="14"/>
      <c r="P59" s="14"/>
      <c r="Q59" s="18"/>
      <c r="R59" s="14"/>
      <c r="S59" s="14"/>
      <c r="T59" s="14"/>
      <c r="U59" s="14"/>
    </row>
    <row r="60" spans="1:24" x14ac:dyDescent="0.3">
      <c r="A60" s="14">
        <f t="shared" si="0"/>
        <v>402</v>
      </c>
      <c r="B60" s="15"/>
      <c r="C60" s="16" t="s">
        <v>336</v>
      </c>
      <c r="D60" s="14"/>
      <c r="E60" s="14"/>
      <c r="F60" s="14"/>
      <c r="G60" s="14"/>
      <c r="H60" s="14"/>
      <c r="I60" s="14"/>
      <c r="J60" s="14"/>
      <c r="K60" s="14"/>
      <c r="L60" s="14"/>
      <c r="M60" s="14"/>
      <c r="N60" s="14"/>
      <c r="O60" s="14"/>
      <c r="P60" s="14"/>
      <c r="Q60" s="18"/>
      <c r="R60" s="14"/>
      <c r="S60" s="14"/>
      <c r="T60" s="14"/>
      <c r="U60" s="14"/>
    </row>
    <row r="61" spans="1:24" x14ac:dyDescent="0.3">
      <c r="A61" s="14">
        <f>A60+1</f>
        <v>403</v>
      </c>
      <c r="B61" s="15"/>
      <c r="C61" s="16"/>
      <c r="D61" s="14"/>
      <c r="E61" s="16"/>
      <c r="F61" s="14"/>
      <c r="G61" s="14"/>
      <c r="H61" s="14"/>
      <c r="I61" s="14"/>
      <c r="J61" s="14"/>
      <c r="K61" s="14"/>
      <c r="L61" s="14"/>
      <c r="M61" s="14"/>
      <c r="N61" s="14"/>
      <c r="O61" s="14"/>
      <c r="P61" s="14"/>
      <c r="Q61" s="18"/>
      <c r="R61" s="14"/>
      <c r="S61" s="14"/>
      <c r="T61" s="14"/>
      <c r="U61" s="14"/>
    </row>
    <row r="62" spans="1:24" x14ac:dyDescent="0.3">
      <c r="A62" s="14">
        <f t="shared" si="0"/>
        <v>404</v>
      </c>
      <c r="B62" s="15"/>
      <c r="C62" s="16" t="s">
        <v>322</v>
      </c>
      <c r="D62" s="14" t="s">
        <v>326</v>
      </c>
      <c r="E62" s="16"/>
      <c r="F62" s="14"/>
      <c r="G62" s="14"/>
      <c r="H62" s="14"/>
      <c r="I62" s="14"/>
      <c r="J62" s="14"/>
      <c r="K62" s="14"/>
      <c r="L62" s="14"/>
      <c r="M62" s="14"/>
      <c r="N62" s="14"/>
      <c r="O62" s="14"/>
      <c r="P62" s="14"/>
      <c r="Q62" s="18"/>
      <c r="R62" s="14"/>
      <c r="S62" s="14"/>
      <c r="T62" s="14"/>
      <c r="U62" s="14"/>
    </row>
    <row r="63" spans="1:24" x14ac:dyDescent="0.3">
      <c r="A63" s="14">
        <f t="shared" si="0"/>
        <v>405</v>
      </c>
      <c r="B63" s="15"/>
      <c r="C63" s="16"/>
      <c r="D63" s="14" t="s">
        <v>326</v>
      </c>
      <c r="E63" s="16"/>
      <c r="F63" s="14"/>
      <c r="G63" s="14"/>
      <c r="H63" s="14"/>
      <c r="I63" s="14"/>
      <c r="J63" s="14"/>
      <c r="K63" s="14"/>
      <c r="L63" s="14"/>
      <c r="M63" s="14"/>
      <c r="N63" s="14"/>
      <c r="O63" s="14"/>
      <c r="P63" s="14"/>
      <c r="Q63" s="18"/>
      <c r="R63" s="14"/>
      <c r="S63" s="14"/>
      <c r="T63" s="14"/>
      <c r="U63" s="14"/>
    </row>
    <row r="64" spans="1:24" x14ac:dyDescent="0.3">
      <c r="A64" s="14">
        <f t="shared" si="0"/>
        <v>406</v>
      </c>
      <c r="B64" s="15"/>
      <c r="C64" s="16"/>
      <c r="D64" s="14" t="s">
        <v>328</v>
      </c>
      <c r="E64" s="16"/>
      <c r="F64" s="14"/>
      <c r="G64" s="14"/>
      <c r="H64" s="14"/>
      <c r="I64" s="14"/>
      <c r="J64" s="14"/>
      <c r="K64" s="14"/>
      <c r="L64" s="14"/>
      <c r="M64" s="14"/>
      <c r="N64" s="14"/>
      <c r="O64" s="14"/>
      <c r="P64" s="14"/>
      <c r="Q64" s="18"/>
      <c r="R64" s="14"/>
      <c r="S64" s="14"/>
      <c r="T64" s="14"/>
      <c r="U64" s="14"/>
    </row>
    <row r="65" spans="1:21" x14ac:dyDescent="0.3">
      <c r="A65" s="14">
        <f t="shared" si="0"/>
        <v>407</v>
      </c>
      <c r="B65" s="15"/>
      <c r="C65" s="16"/>
      <c r="D65" s="14" t="s">
        <v>328</v>
      </c>
      <c r="E65" s="14"/>
      <c r="F65" s="14"/>
      <c r="G65" s="14"/>
      <c r="H65" s="14"/>
      <c r="I65" s="14"/>
      <c r="J65" s="14"/>
      <c r="K65" s="14"/>
      <c r="L65" s="14"/>
      <c r="M65" s="14"/>
      <c r="N65" s="14"/>
      <c r="O65" s="14"/>
      <c r="P65" s="14"/>
      <c r="Q65" s="18"/>
      <c r="R65" s="14"/>
      <c r="S65" s="14"/>
      <c r="T65" s="14"/>
      <c r="U65" s="14"/>
    </row>
    <row r="66" spans="1:21" x14ac:dyDescent="0.3">
      <c r="A66" s="14">
        <f t="shared" si="0"/>
        <v>408</v>
      </c>
      <c r="B66" s="15"/>
      <c r="C66" s="16"/>
      <c r="D66" s="14" t="s">
        <v>328</v>
      </c>
      <c r="E66" s="14"/>
      <c r="F66" s="14"/>
      <c r="G66" s="14"/>
      <c r="H66" s="14"/>
      <c r="I66" s="14"/>
      <c r="J66" s="14"/>
      <c r="K66" s="14"/>
      <c r="L66" s="14"/>
      <c r="M66" s="14"/>
      <c r="N66" s="14"/>
      <c r="O66" s="14"/>
      <c r="P66" s="14"/>
      <c r="Q66" s="18"/>
      <c r="R66" s="14"/>
      <c r="S66" s="14"/>
      <c r="T66" s="14"/>
      <c r="U66" s="14"/>
    </row>
    <row r="67" spans="1:21" x14ac:dyDescent="0.3">
      <c r="A67" s="14">
        <f t="shared" si="0"/>
        <v>409</v>
      </c>
      <c r="B67" s="15"/>
      <c r="C67" s="16" t="s">
        <v>323</v>
      </c>
      <c r="D67" s="14" t="s">
        <v>329</v>
      </c>
      <c r="E67" s="14"/>
      <c r="F67" s="14"/>
      <c r="G67" s="14"/>
      <c r="H67" s="14"/>
      <c r="I67" s="14"/>
      <c r="J67" s="14"/>
      <c r="K67" s="14"/>
      <c r="L67" s="14"/>
      <c r="M67" s="14"/>
      <c r="N67" s="14"/>
      <c r="O67" s="14"/>
      <c r="P67" s="14"/>
      <c r="Q67" s="18"/>
      <c r="R67" s="14"/>
      <c r="S67" s="14"/>
      <c r="T67" s="14"/>
      <c r="U67" s="14"/>
    </row>
    <row r="68" spans="1:21" x14ac:dyDescent="0.3">
      <c r="A68" s="14">
        <f t="shared" si="0"/>
        <v>410</v>
      </c>
      <c r="B68" s="15"/>
      <c r="C68" s="16"/>
      <c r="D68" s="14" t="s">
        <v>329</v>
      </c>
      <c r="E68" s="14"/>
      <c r="F68" s="14"/>
      <c r="G68" s="14"/>
      <c r="H68" s="14"/>
      <c r="I68" s="14"/>
      <c r="J68" s="14"/>
      <c r="K68" s="14"/>
      <c r="L68" s="14"/>
      <c r="M68" s="14"/>
      <c r="N68" s="14"/>
      <c r="O68" s="14"/>
      <c r="P68" s="14"/>
      <c r="Q68" s="18"/>
      <c r="R68" s="14"/>
      <c r="S68" s="14"/>
      <c r="T68" s="14"/>
      <c r="U68" s="14"/>
    </row>
    <row r="69" spans="1:21" x14ac:dyDescent="0.3">
      <c r="A69" s="14">
        <f t="shared" si="0"/>
        <v>411</v>
      </c>
      <c r="B69" s="15"/>
      <c r="C69" s="16"/>
      <c r="D69" s="14" t="s">
        <v>330</v>
      </c>
      <c r="E69" s="14"/>
      <c r="F69" s="14"/>
      <c r="G69" s="14"/>
      <c r="H69" s="14"/>
      <c r="I69" s="14"/>
      <c r="J69" s="14"/>
      <c r="K69" s="14"/>
      <c r="L69" s="14"/>
      <c r="M69" s="14"/>
      <c r="N69" s="14"/>
      <c r="O69" s="14"/>
      <c r="P69" s="14"/>
      <c r="Q69" s="18"/>
      <c r="R69" s="14"/>
      <c r="S69" s="14"/>
      <c r="T69" s="14"/>
      <c r="U69" s="14"/>
    </row>
    <row r="70" spans="1:21" x14ac:dyDescent="0.3">
      <c r="A70" s="14">
        <f t="shared" si="0"/>
        <v>412</v>
      </c>
      <c r="B70" s="15"/>
      <c r="C70" s="16"/>
      <c r="D70" s="14" t="s">
        <v>331</v>
      </c>
      <c r="E70" s="14"/>
      <c r="F70" s="14"/>
      <c r="G70" s="14"/>
      <c r="H70" s="14"/>
      <c r="I70" s="14"/>
      <c r="J70" s="14"/>
      <c r="K70" s="14"/>
      <c r="L70" s="14"/>
      <c r="M70" s="14"/>
      <c r="N70" s="14"/>
      <c r="O70" s="14"/>
      <c r="P70" s="14"/>
      <c r="Q70" s="18"/>
      <c r="R70" s="14"/>
      <c r="S70" s="14"/>
      <c r="T70" s="14"/>
      <c r="U70" s="14"/>
    </row>
    <row r="71" spans="1:21" x14ac:dyDescent="0.3">
      <c r="A71" s="14">
        <f t="shared" si="0"/>
        <v>413</v>
      </c>
      <c r="B71" s="15"/>
      <c r="C71" s="16"/>
      <c r="D71" s="14" t="s">
        <v>331</v>
      </c>
      <c r="E71" s="14"/>
      <c r="F71" s="14"/>
      <c r="G71" s="14"/>
      <c r="H71" s="14"/>
      <c r="I71" s="14"/>
      <c r="J71" s="14"/>
      <c r="K71" s="14"/>
      <c r="L71" s="14"/>
      <c r="M71" s="14"/>
      <c r="N71" s="14"/>
      <c r="O71" s="14"/>
      <c r="P71" s="14"/>
      <c r="Q71" s="18"/>
      <c r="R71" s="14"/>
      <c r="S71" s="14"/>
      <c r="T71" s="14"/>
      <c r="U71" s="14"/>
    </row>
    <row r="72" spans="1:21" x14ac:dyDescent="0.3">
      <c r="A72" s="14">
        <f t="shared" si="0"/>
        <v>414</v>
      </c>
      <c r="B72" s="15"/>
      <c r="C72" s="16"/>
      <c r="D72" s="14" t="s">
        <v>331</v>
      </c>
      <c r="E72" s="14"/>
      <c r="F72" s="14"/>
      <c r="G72" s="14"/>
      <c r="H72" s="14"/>
      <c r="I72" s="14"/>
      <c r="J72" s="14"/>
      <c r="K72" s="14"/>
      <c r="L72" s="14"/>
      <c r="M72" s="14"/>
      <c r="N72" s="14"/>
      <c r="O72" s="14"/>
      <c r="P72" s="14"/>
      <c r="Q72" s="18"/>
      <c r="R72" s="14"/>
      <c r="S72" s="14"/>
      <c r="T72" s="14"/>
      <c r="U72" s="14"/>
    </row>
    <row r="73" spans="1:21" x14ac:dyDescent="0.3">
      <c r="A73" s="14">
        <f t="shared" si="0"/>
        <v>415</v>
      </c>
      <c r="B73" s="15"/>
      <c r="C73" s="16"/>
      <c r="D73" s="14" t="s">
        <v>331</v>
      </c>
      <c r="E73" s="14"/>
      <c r="F73" s="14"/>
      <c r="G73" s="14"/>
      <c r="H73" s="14"/>
      <c r="I73" s="14"/>
      <c r="J73" s="14"/>
      <c r="K73" s="14"/>
      <c r="L73" s="14"/>
      <c r="M73" s="14"/>
      <c r="N73" s="14"/>
      <c r="O73" s="14"/>
      <c r="P73" s="14"/>
      <c r="Q73" s="18"/>
      <c r="R73" s="14"/>
      <c r="S73" s="14"/>
      <c r="T73" s="14"/>
      <c r="U73" s="14"/>
    </row>
    <row r="74" spans="1:21" x14ac:dyDescent="0.3">
      <c r="A74" s="14">
        <f t="shared" si="0"/>
        <v>416</v>
      </c>
      <c r="B74" s="15"/>
      <c r="C74" s="16"/>
      <c r="D74" s="14" t="s">
        <v>331</v>
      </c>
      <c r="E74" s="14"/>
      <c r="F74" s="14"/>
      <c r="G74" s="14"/>
      <c r="H74" s="14"/>
      <c r="I74" s="14"/>
      <c r="J74" s="14"/>
      <c r="K74" s="14"/>
      <c r="L74" s="14"/>
      <c r="M74" s="14"/>
      <c r="N74" s="14"/>
      <c r="O74" s="14"/>
      <c r="P74" s="14"/>
      <c r="Q74" s="18"/>
      <c r="R74" s="14"/>
      <c r="S74" s="14"/>
      <c r="T74" s="14"/>
      <c r="U74" s="14"/>
    </row>
    <row r="75" spans="1:21" x14ac:dyDescent="0.3">
      <c r="A75" s="14">
        <f t="shared" si="0"/>
        <v>417</v>
      </c>
      <c r="B75" s="15"/>
      <c r="C75" s="16"/>
      <c r="D75" s="14" t="s">
        <v>332</v>
      </c>
      <c r="E75" s="14"/>
      <c r="F75" s="14"/>
      <c r="G75" s="14"/>
      <c r="H75" s="14"/>
      <c r="I75" s="14"/>
      <c r="J75" s="14"/>
      <c r="K75" s="14"/>
      <c r="L75" s="14"/>
      <c r="M75" s="14"/>
      <c r="N75" s="14"/>
      <c r="O75" s="14"/>
      <c r="P75" s="14"/>
      <c r="Q75" s="18"/>
      <c r="R75" s="14"/>
      <c r="S75" s="14"/>
      <c r="T75" s="14"/>
      <c r="U75" s="14"/>
    </row>
    <row r="76" spans="1:21" x14ac:dyDescent="0.3">
      <c r="A76" s="14">
        <f t="shared" si="0"/>
        <v>418</v>
      </c>
      <c r="B76" s="15"/>
      <c r="C76" s="16"/>
      <c r="D76" s="14" t="s">
        <v>332</v>
      </c>
      <c r="E76" s="14"/>
      <c r="F76" s="14"/>
      <c r="G76" s="14"/>
      <c r="H76" s="14"/>
      <c r="I76" s="14"/>
      <c r="J76" s="14"/>
      <c r="K76" s="14"/>
      <c r="L76" s="14"/>
      <c r="M76" s="14"/>
      <c r="N76" s="14"/>
      <c r="O76" s="14"/>
      <c r="P76" s="14"/>
      <c r="Q76" s="18"/>
      <c r="R76" s="14"/>
      <c r="S76" s="14"/>
      <c r="T76" s="14"/>
      <c r="U76" s="14"/>
    </row>
    <row r="77" spans="1:21" x14ac:dyDescent="0.3">
      <c r="A77" s="14">
        <f t="shared" si="0"/>
        <v>419</v>
      </c>
      <c r="B77" s="15"/>
      <c r="C77" s="16"/>
      <c r="D77" s="14" t="s">
        <v>332</v>
      </c>
      <c r="E77" s="14"/>
      <c r="F77" s="14"/>
      <c r="G77" s="14"/>
      <c r="H77" s="14"/>
      <c r="I77" s="14"/>
      <c r="J77" s="14"/>
      <c r="K77" s="14"/>
      <c r="L77" s="14"/>
      <c r="M77" s="14"/>
      <c r="N77" s="14"/>
      <c r="O77" s="14"/>
      <c r="P77" s="14"/>
      <c r="Q77" s="18"/>
      <c r="R77" s="14"/>
      <c r="S77" s="14"/>
      <c r="T77" s="14"/>
      <c r="U77" s="14"/>
    </row>
    <row r="78" spans="1:21" x14ac:dyDescent="0.3">
      <c r="A78" s="14">
        <f t="shared" si="0"/>
        <v>420</v>
      </c>
      <c r="B78" s="15"/>
      <c r="C78" s="16"/>
      <c r="D78" s="14" t="s">
        <v>332</v>
      </c>
      <c r="E78" s="14"/>
      <c r="F78" s="14"/>
      <c r="G78" s="14"/>
      <c r="H78" s="14"/>
      <c r="I78" s="14"/>
      <c r="J78" s="14"/>
      <c r="K78" s="14"/>
      <c r="L78" s="14"/>
      <c r="M78" s="14"/>
      <c r="N78" s="14"/>
      <c r="O78" s="14"/>
      <c r="P78" s="14"/>
      <c r="Q78" s="18"/>
      <c r="R78" s="14"/>
      <c r="S78" s="14"/>
      <c r="T78" s="14"/>
      <c r="U78" s="14"/>
    </row>
    <row r="79" spans="1:21" x14ac:dyDescent="0.3">
      <c r="A79" s="14">
        <f t="shared" si="0"/>
        <v>421</v>
      </c>
      <c r="B79" s="15"/>
      <c r="C79" s="16"/>
      <c r="D79" s="14" t="s">
        <v>333</v>
      </c>
      <c r="E79" s="14"/>
      <c r="F79" s="14"/>
      <c r="G79" s="14"/>
      <c r="H79" s="14"/>
      <c r="I79" s="14"/>
      <c r="J79" s="14"/>
      <c r="K79" s="14"/>
      <c r="L79" s="14"/>
      <c r="M79" s="14"/>
      <c r="N79" s="14"/>
      <c r="O79" s="14"/>
      <c r="P79" s="14"/>
      <c r="Q79" s="18"/>
      <c r="R79" s="14"/>
      <c r="S79" s="14"/>
      <c r="T79" s="14"/>
      <c r="U79" s="14"/>
    </row>
    <row r="80" spans="1:21" x14ac:dyDescent="0.3">
      <c r="A80" s="14">
        <f t="shared" si="0"/>
        <v>422</v>
      </c>
      <c r="B80" s="15"/>
      <c r="C80" s="16"/>
      <c r="D80" s="14" t="s">
        <v>333</v>
      </c>
      <c r="E80" s="14"/>
      <c r="F80" s="14"/>
      <c r="G80" s="14"/>
      <c r="H80" s="14"/>
      <c r="I80" s="14"/>
      <c r="J80" s="14"/>
      <c r="K80" s="14"/>
      <c r="L80" s="14"/>
      <c r="M80" s="14"/>
      <c r="N80" s="14"/>
      <c r="O80" s="14"/>
      <c r="P80" s="14"/>
      <c r="Q80" s="18"/>
      <c r="R80" s="14"/>
      <c r="S80" s="14"/>
      <c r="T80" s="14"/>
      <c r="U80" s="14"/>
    </row>
    <row r="81" spans="1:21" x14ac:dyDescent="0.3">
      <c r="A81" s="14">
        <f t="shared" si="0"/>
        <v>423</v>
      </c>
      <c r="B81" s="15"/>
      <c r="C81" s="16"/>
      <c r="D81" s="14" t="s">
        <v>333</v>
      </c>
      <c r="E81" s="14"/>
      <c r="F81" s="14"/>
      <c r="G81" s="14"/>
      <c r="H81" s="14"/>
      <c r="I81" s="14"/>
      <c r="J81" s="14"/>
      <c r="K81" s="14"/>
      <c r="L81" s="14"/>
      <c r="M81" s="14"/>
      <c r="N81" s="14"/>
      <c r="O81" s="14"/>
      <c r="P81" s="14"/>
      <c r="Q81" s="18"/>
      <c r="R81" s="14"/>
      <c r="S81" s="14"/>
      <c r="T81" s="14"/>
      <c r="U81" s="14"/>
    </row>
    <row r="82" spans="1:21" x14ac:dyDescent="0.3">
      <c r="A82" s="14">
        <f t="shared" si="0"/>
        <v>424</v>
      </c>
      <c r="B82" s="15"/>
      <c r="C82" s="16" t="s">
        <v>337</v>
      </c>
      <c r="D82" s="14"/>
      <c r="E82" s="14"/>
      <c r="F82" s="14"/>
      <c r="G82" s="14"/>
      <c r="H82" s="14"/>
      <c r="I82" s="14"/>
      <c r="J82" s="14"/>
      <c r="K82" s="14"/>
      <c r="L82" s="14"/>
      <c r="M82" s="14"/>
      <c r="N82" s="14"/>
      <c r="O82" s="14"/>
      <c r="P82" s="14"/>
      <c r="Q82" s="18"/>
      <c r="R82" s="14"/>
      <c r="S82" s="14"/>
      <c r="T82" s="14"/>
      <c r="U82" s="14"/>
    </row>
    <row r="83" spans="1:21" x14ac:dyDescent="0.3">
      <c r="A83" s="14">
        <v>501</v>
      </c>
      <c r="B83" s="15"/>
      <c r="C83" s="16"/>
      <c r="D83" s="14"/>
      <c r="E83" s="14"/>
      <c r="F83" s="14"/>
      <c r="G83" s="14"/>
      <c r="H83" s="14"/>
      <c r="I83" s="14"/>
      <c r="J83" s="14"/>
      <c r="K83" s="14"/>
      <c r="L83" s="14"/>
      <c r="M83" s="14"/>
      <c r="N83" s="14"/>
      <c r="O83" s="14"/>
      <c r="P83" s="14"/>
      <c r="Q83" s="18"/>
      <c r="R83" s="14"/>
      <c r="S83" s="14"/>
      <c r="T83" s="14"/>
      <c r="U83" s="14"/>
    </row>
    <row r="84" spans="1:21" x14ac:dyDescent="0.3">
      <c r="A84" s="14">
        <f t="shared" si="0"/>
        <v>502</v>
      </c>
      <c r="B84" s="15"/>
      <c r="C84" s="16" t="s">
        <v>338</v>
      </c>
      <c r="D84" s="14"/>
      <c r="E84" s="14"/>
      <c r="F84" s="14"/>
      <c r="G84" s="14"/>
      <c r="H84" s="14"/>
      <c r="I84" s="14"/>
      <c r="J84" s="14"/>
      <c r="K84" s="14"/>
      <c r="L84" s="14"/>
      <c r="M84" s="14"/>
      <c r="N84" s="14"/>
      <c r="O84" s="14"/>
      <c r="P84" s="14"/>
      <c r="Q84" s="18"/>
      <c r="R84" s="14"/>
      <c r="S84" s="14"/>
      <c r="T84" s="14"/>
      <c r="U84" s="14"/>
    </row>
    <row r="85" spans="1:21" x14ac:dyDescent="0.3">
      <c r="A85" s="14">
        <v>601</v>
      </c>
      <c r="B85" s="15"/>
      <c r="C85" s="16"/>
      <c r="D85" s="14"/>
      <c r="E85" s="14"/>
      <c r="F85" s="14"/>
      <c r="G85" s="14"/>
      <c r="H85" s="14"/>
      <c r="I85" s="14"/>
      <c r="J85" s="14"/>
      <c r="K85" s="14"/>
      <c r="L85" s="14"/>
      <c r="M85" s="14"/>
      <c r="N85" s="14"/>
      <c r="O85" s="14"/>
      <c r="P85" s="14"/>
      <c r="Q85" s="18"/>
      <c r="R85" s="14"/>
      <c r="S85" s="14"/>
      <c r="T85" s="14"/>
      <c r="U85" s="14"/>
    </row>
    <row r="86" spans="1:21" x14ac:dyDescent="0.3">
      <c r="A86" s="14">
        <f t="shared" si="0"/>
        <v>602</v>
      </c>
      <c r="B86" s="15"/>
      <c r="C86" s="16" t="s">
        <v>324</v>
      </c>
      <c r="D86" s="14" t="s">
        <v>327</v>
      </c>
      <c r="E86" s="14"/>
      <c r="F86" s="14"/>
      <c r="G86" s="14"/>
      <c r="H86" s="14"/>
      <c r="I86" s="14"/>
      <c r="J86" s="14"/>
      <c r="K86" s="14"/>
      <c r="L86" s="14"/>
      <c r="M86" s="14"/>
      <c r="N86" s="14"/>
      <c r="O86" s="14"/>
      <c r="P86" s="14"/>
      <c r="Q86" s="18"/>
      <c r="R86" s="14"/>
      <c r="S86" s="14"/>
      <c r="T86" s="14"/>
      <c r="U86" s="14"/>
    </row>
    <row r="87" spans="1:21" x14ac:dyDescent="0.3">
      <c r="A87" s="14">
        <v>701</v>
      </c>
      <c r="B87" s="15"/>
      <c r="C87" s="16"/>
      <c r="D87" s="14"/>
      <c r="E87" s="14"/>
      <c r="F87" s="14"/>
      <c r="G87" s="14"/>
      <c r="H87" s="14"/>
      <c r="I87" s="14"/>
      <c r="J87" s="14"/>
      <c r="K87" s="14"/>
      <c r="L87" s="14"/>
      <c r="M87" s="14"/>
      <c r="N87" s="14"/>
      <c r="O87" s="14"/>
      <c r="P87" s="14"/>
      <c r="Q87" s="18"/>
      <c r="R87" s="14"/>
      <c r="S87" s="14"/>
      <c r="T87" s="14"/>
      <c r="U87" s="14"/>
    </row>
    <row r="88" spans="1:21" x14ac:dyDescent="0.3">
      <c r="A88" s="14">
        <f t="shared" ref="A88:A151" si="1">A87+1</f>
        <v>702</v>
      </c>
      <c r="B88" s="15"/>
      <c r="C88" s="16"/>
      <c r="D88" s="14"/>
      <c r="E88" s="14"/>
      <c r="F88" s="14"/>
      <c r="G88" s="14"/>
      <c r="H88" s="14"/>
      <c r="I88" s="14"/>
      <c r="J88" s="14"/>
      <c r="K88" s="14"/>
      <c r="L88" s="14"/>
      <c r="M88" s="14"/>
      <c r="N88" s="14"/>
      <c r="O88" s="14"/>
      <c r="P88" s="14"/>
      <c r="Q88" s="18"/>
      <c r="R88" s="14"/>
      <c r="S88" s="14"/>
      <c r="T88" s="14"/>
      <c r="U88" s="14"/>
    </row>
    <row r="89" spans="1:21" x14ac:dyDescent="0.3">
      <c r="A89" s="14">
        <f t="shared" si="1"/>
        <v>703</v>
      </c>
      <c r="B89" s="15"/>
      <c r="C89" s="16"/>
      <c r="D89" s="14"/>
      <c r="E89" s="14"/>
      <c r="F89" s="14"/>
      <c r="G89" s="14"/>
      <c r="H89" s="14"/>
      <c r="I89" s="14"/>
      <c r="J89" s="14"/>
      <c r="K89" s="14"/>
      <c r="L89" s="14"/>
      <c r="M89" s="14"/>
      <c r="N89" s="14"/>
      <c r="O89" s="14"/>
      <c r="P89" s="14"/>
      <c r="Q89" s="18"/>
      <c r="R89" s="14"/>
      <c r="S89" s="14"/>
      <c r="T89" s="14"/>
      <c r="U89" s="14"/>
    </row>
    <row r="90" spans="1:21" ht="40" x14ac:dyDescent="0.3">
      <c r="A90" s="14">
        <f t="shared" si="1"/>
        <v>704</v>
      </c>
      <c r="B90" s="15"/>
      <c r="C90" s="16" t="s">
        <v>325</v>
      </c>
      <c r="D90" s="14" t="s">
        <v>325</v>
      </c>
      <c r="E90" s="14"/>
      <c r="F90" s="14"/>
      <c r="G90" s="14"/>
      <c r="H90" s="14"/>
      <c r="I90" s="14"/>
      <c r="J90" s="14"/>
      <c r="K90" s="14"/>
      <c r="L90" s="14"/>
      <c r="M90" s="14"/>
      <c r="N90" s="14"/>
      <c r="O90" s="14"/>
      <c r="P90" s="14"/>
      <c r="Q90" s="18"/>
      <c r="R90" s="14"/>
      <c r="S90" s="14"/>
      <c r="T90" s="14"/>
      <c r="U90" s="14"/>
    </row>
    <row r="91" spans="1:21" ht="40" x14ac:dyDescent="0.3">
      <c r="A91" s="14">
        <f t="shared" si="1"/>
        <v>705</v>
      </c>
      <c r="B91" s="15"/>
      <c r="C91" s="16"/>
      <c r="D91" s="14" t="s">
        <v>334</v>
      </c>
      <c r="E91" s="14"/>
      <c r="F91" s="14"/>
      <c r="G91" s="14"/>
      <c r="H91" s="14"/>
      <c r="I91" s="14"/>
      <c r="J91" s="14"/>
      <c r="K91" s="14"/>
      <c r="L91" s="14"/>
      <c r="M91" s="14"/>
      <c r="N91" s="14"/>
      <c r="O91" s="14"/>
      <c r="P91" s="14"/>
      <c r="Q91" s="18"/>
      <c r="R91" s="14"/>
      <c r="S91" s="14"/>
      <c r="T91" s="14"/>
      <c r="U91" s="14"/>
    </row>
    <row r="92" spans="1:21" ht="40" x14ac:dyDescent="0.3">
      <c r="A92" s="14">
        <f t="shared" si="1"/>
        <v>706</v>
      </c>
      <c r="B92" s="15"/>
      <c r="C92" s="16"/>
      <c r="D92" s="14" t="s">
        <v>334</v>
      </c>
      <c r="E92" s="14"/>
      <c r="F92" s="14"/>
      <c r="G92" s="14"/>
      <c r="H92" s="14"/>
      <c r="I92" s="14"/>
      <c r="J92" s="14"/>
      <c r="K92" s="14"/>
      <c r="L92" s="14"/>
      <c r="M92" s="14"/>
      <c r="N92" s="14"/>
      <c r="O92" s="14"/>
      <c r="P92" s="14"/>
      <c r="Q92" s="18"/>
      <c r="R92" s="14"/>
      <c r="S92" s="14"/>
      <c r="T92" s="14"/>
      <c r="U92" s="14"/>
    </row>
    <row r="93" spans="1:21" ht="40" x14ac:dyDescent="0.3">
      <c r="A93" s="14">
        <f t="shared" si="1"/>
        <v>707</v>
      </c>
      <c r="B93" s="15"/>
      <c r="C93" s="16"/>
      <c r="D93" s="14" t="s">
        <v>334</v>
      </c>
      <c r="E93" s="14"/>
      <c r="F93" s="14"/>
      <c r="G93" s="14"/>
      <c r="H93" s="14"/>
      <c r="I93" s="14"/>
      <c r="J93" s="14"/>
      <c r="K93" s="14"/>
      <c r="L93" s="14"/>
      <c r="M93" s="14"/>
      <c r="N93" s="14"/>
      <c r="O93" s="14"/>
      <c r="P93" s="14"/>
      <c r="Q93" s="18"/>
      <c r="R93" s="14"/>
      <c r="S93" s="14"/>
      <c r="T93" s="14"/>
      <c r="U93" s="14"/>
    </row>
    <row r="94" spans="1:21" ht="40" x14ac:dyDescent="0.3">
      <c r="A94" s="14">
        <f t="shared" si="1"/>
        <v>708</v>
      </c>
      <c r="B94" s="15"/>
      <c r="C94" s="16"/>
      <c r="D94" s="14" t="s">
        <v>334</v>
      </c>
      <c r="E94" s="14"/>
      <c r="F94" s="14"/>
      <c r="G94" s="14"/>
      <c r="H94" s="14"/>
      <c r="I94" s="14"/>
      <c r="J94" s="14"/>
      <c r="K94" s="14"/>
      <c r="L94" s="14"/>
      <c r="M94" s="14"/>
      <c r="N94" s="14"/>
      <c r="O94" s="14"/>
      <c r="P94" s="14"/>
      <c r="Q94" s="18"/>
      <c r="R94" s="14"/>
      <c r="S94" s="14"/>
      <c r="T94" s="14"/>
      <c r="U94" s="14"/>
    </row>
    <row r="95" spans="1:21" ht="40" x14ac:dyDescent="0.3">
      <c r="A95" s="14">
        <f t="shared" si="1"/>
        <v>709</v>
      </c>
      <c r="B95" s="15"/>
      <c r="C95" s="16"/>
      <c r="D95" s="14" t="s">
        <v>334</v>
      </c>
      <c r="E95" s="14"/>
      <c r="F95" s="14"/>
      <c r="G95" s="14"/>
      <c r="H95" s="14"/>
      <c r="I95" s="14"/>
      <c r="J95" s="14"/>
      <c r="K95" s="14"/>
      <c r="L95" s="14"/>
      <c r="M95" s="14"/>
      <c r="N95" s="14"/>
      <c r="O95" s="14"/>
      <c r="P95" s="14"/>
      <c r="Q95" s="18"/>
      <c r="R95" s="14"/>
      <c r="S95" s="14"/>
      <c r="T95" s="14"/>
      <c r="U95" s="14"/>
    </row>
    <row r="96" spans="1:21" ht="40" x14ac:dyDescent="0.3">
      <c r="A96" s="14">
        <f t="shared" si="1"/>
        <v>710</v>
      </c>
      <c r="B96" s="15"/>
      <c r="C96" s="16"/>
      <c r="D96" s="14" t="s">
        <v>334</v>
      </c>
      <c r="E96" s="14"/>
      <c r="F96" s="14"/>
      <c r="G96" s="14"/>
      <c r="H96" s="14"/>
      <c r="I96" s="14"/>
      <c r="J96" s="14"/>
      <c r="K96" s="14"/>
      <c r="L96" s="14"/>
      <c r="M96" s="14"/>
      <c r="N96" s="14"/>
      <c r="O96" s="14"/>
      <c r="P96" s="14"/>
      <c r="Q96" s="18"/>
      <c r="R96" s="14"/>
      <c r="S96" s="14"/>
      <c r="T96" s="14"/>
      <c r="U96" s="14"/>
    </row>
    <row r="97" spans="1:18" x14ac:dyDescent="0.3">
      <c r="A97" s="2">
        <f t="shared" si="1"/>
        <v>711</v>
      </c>
      <c r="D97" s="2">
        <v>32</v>
      </c>
      <c r="Q97" s="5"/>
      <c r="R97" s="2"/>
    </row>
    <row r="98" spans="1:18" x14ac:dyDescent="0.3">
      <c r="A98" s="2">
        <f t="shared" si="1"/>
        <v>712</v>
      </c>
      <c r="Q98" s="5"/>
      <c r="R98" s="2"/>
    </row>
    <row r="99" spans="1:18" x14ac:dyDescent="0.3">
      <c r="A99" s="2">
        <f t="shared" si="1"/>
        <v>713</v>
      </c>
      <c r="Q99" s="5"/>
      <c r="R99" s="2"/>
    </row>
    <row r="100" spans="1:18" x14ac:dyDescent="0.3">
      <c r="A100" s="2">
        <f t="shared" si="1"/>
        <v>714</v>
      </c>
      <c r="Q100" s="5"/>
      <c r="R100" s="2"/>
    </row>
    <row r="101" spans="1:18" x14ac:dyDescent="0.3">
      <c r="A101" s="2">
        <f t="shared" si="1"/>
        <v>715</v>
      </c>
      <c r="Q101" s="5"/>
      <c r="R101" s="2"/>
    </row>
    <row r="102" spans="1:18" x14ac:dyDescent="0.3">
      <c r="A102" s="2">
        <f t="shared" si="1"/>
        <v>716</v>
      </c>
      <c r="Q102" s="5"/>
      <c r="R102" s="2"/>
    </row>
    <row r="103" spans="1:18" x14ac:dyDescent="0.3">
      <c r="A103" s="2">
        <f t="shared" si="1"/>
        <v>717</v>
      </c>
      <c r="Q103" s="5"/>
      <c r="R103" s="2"/>
    </row>
    <row r="104" spans="1:18" x14ac:dyDescent="0.3">
      <c r="A104" s="2">
        <f t="shared" si="1"/>
        <v>718</v>
      </c>
      <c r="Q104" s="5"/>
      <c r="R104" s="2"/>
    </row>
    <row r="105" spans="1:18" x14ac:dyDescent="0.3">
      <c r="A105" s="2">
        <f t="shared" si="1"/>
        <v>719</v>
      </c>
      <c r="Q105" s="5"/>
      <c r="R105" s="2"/>
    </row>
    <row r="106" spans="1:18" x14ac:dyDescent="0.3">
      <c r="A106" s="2">
        <f t="shared" si="1"/>
        <v>720</v>
      </c>
      <c r="Q106" s="5"/>
      <c r="R106" s="2"/>
    </row>
    <row r="107" spans="1:18" x14ac:dyDescent="0.3">
      <c r="A107" s="2">
        <f t="shared" si="1"/>
        <v>721</v>
      </c>
      <c r="Q107" s="5"/>
      <c r="R107" s="2"/>
    </row>
    <row r="108" spans="1:18" x14ac:dyDescent="0.3">
      <c r="A108" s="2">
        <f t="shared" si="1"/>
        <v>722</v>
      </c>
      <c r="Q108" s="5"/>
      <c r="R108" s="2"/>
    </row>
    <row r="109" spans="1:18" x14ac:dyDescent="0.3">
      <c r="A109" s="2">
        <f t="shared" si="1"/>
        <v>723</v>
      </c>
      <c r="Q109" s="5"/>
      <c r="R109" s="2"/>
    </row>
    <row r="110" spans="1:18" x14ac:dyDescent="0.3">
      <c r="A110" s="2">
        <f t="shared" si="1"/>
        <v>724</v>
      </c>
      <c r="Q110" s="5"/>
      <c r="R110" s="2"/>
    </row>
    <row r="111" spans="1:18" x14ac:dyDescent="0.3">
      <c r="A111" s="2">
        <f t="shared" si="1"/>
        <v>725</v>
      </c>
      <c r="Q111" s="5"/>
      <c r="R111" s="2"/>
    </row>
    <row r="112" spans="1:18" x14ac:dyDescent="0.3">
      <c r="A112" s="2">
        <f t="shared" si="1"/>
        <v>726</v>
      </c>
      <c r="Q112" s="5"/>
      <c r="R112" s="2"/>
    </row>
    <row r="113" spans="1:18" x14ac:dyDescent="0.3">
      <c r="A113" s="2">
        <f t="shared" si="1"/>
        <v>727</v>
      </c>
      <c r="Q113" s="5"/>
      <c r="R113" s="2"/>
    </row>
    <row r="114" spans="1:18" x14ac:dyDescent="0.3">
      <c r="A114" s="2">
        <f t="shared" si="1"/>
        <v>728</v>
      </c>
      <c r="Q114" s="5"/>
      <c r="R114" s="2"/>
    </row>
    <row r="115" spans="1:18" x14ac:dyDescent="0.3">
      <c r="A115" s="2">
        <f t="shared" si="1"/>
        <v>729</v>
      </c>
      <c r="Q115" s="5"/>
      <c r="R115" s="2"/>
    </row>
    <row r="116" spans="1:18" x14ac:dyDescent="0.3">
      <c r="A116" s="2">
        <f t="shared" si="1"/>
        <v>730</v>
      </c>
      <c r="Q116" s="5"/>
      <c r="R116" s="2"/>
    </row>
    <row r="117" spans="1:18" x14ac:dyDescent="0.3">
      <c r="A117" s="2">
        <f t="shared" si="1"/>
        <v>731</v>
      </c>
      <c r="Q117" s="5"/>
      <c r="R117" s="2"/>
    </row>
    <row r="118" spans="1:18" x14ac:dyDescent="0.3">
      <c r="A118" s="2">
        <f t="shared" si="1"/>
        <v>732</v>
      </c>
      <c r="Q118" s="5"/>
      <c r="R118" s="2"/>
    </row>
    <row r="119" spans="1:18" x14ac:dyDescent="0.3">
      <c r="A119" s="2">
        <f t="shared" si="1"/>
        <v>733</v>
      </c>
      <c r="Q119" s="5"/>
      <c r="R119" s="2"/>
    </row>
    <row r="120" spans="1:18" x14ac:dyDescent="0.3">
      <c r="A120" s="2">
        <f t="shared" si="1"/>
        <v>734</v>
      </c>
      <c r="Q120" s="5"/>
      <c r="R120" s="2"/>
    </row>
    <row r="121" spans="1:18" x14ac:dyDescent="0.3">
      <c r="A121" s="2">
        <f t="shared" si="1"/>
        <v>735</v>
      </c>
      <c r="Q121" s="5"/>
      <c r="R121" s="2"/>
    </row>
    <row r="122" spans="1:18" x14ac:dyDescent="0.3">
      <c r="A122" s="2">
        <f t="shared" si="1"/>
        <v>736</v>
      </c>
      <c r="Q122" s="5"/>
      <c r="R122" s="2"/>
    </row>
    <row r="123" spans="1:18" x14ac:dyDescent="0.3">
      <c r="A123" s="2">
        <f t="shared" si="1"/>
        <v>737</v>
      </c>
      <c r="Q123" s="5"/>
      <c r="R123" s="2"/>
    </row>
    <row r="124" spans="1:18" x14ac:dyDescent="0.3">
      <c r="A124" s="2">
        <f t="shared" si="1"/>
        <v>738</v>
      </c>
      <c r="Q124" s="5"/>
      <c r="R124" s="2"/>
    </row>
    <row r="125" spans="1:18" x14ac:dyDescent="0.3">
      <c r="A125" s="2">
        <f t="shared" si="1"/>
        <v>739</v>
      </c>
      <c r="Q125" s="5"/>
      <c r="R125" s="2"/>
    </row>
    <row r="126" spans="1:18" x14ac:dyDescent="0.3">
      <c r="A126" s="2">
        <f t="shared" si="1"/>
        <v>740</v>
      </c>
      <c r="Q126" s="5"/>
      <c r="R126" s="2"/>
    </row>
    <row r="127" spans="1:18" x14ac:dyDescent="0.3">
      <c r="A127" s="2">
        <f t="shared" si="1"/>
        <v>741</v>
      </c>
      <c r="Q127" s="5"/>
      <c r="R127" s="2"/>
    </row>
    <row r="128" spans="1:18" x14ac:dyDescent="0.3">
      <c r="A128" s="2">
        <f t="shared" si="1"/>
        <v>742</v>
      </c>
      <c r="Q128" s="5"/>
      <c r="R128" s="2"/>
    </row>
    <row r="129" spans="1:18" x14ac:dyDescent="0.3">
      <c r="A129" s="2">
        <f t="shared" si="1"/>
        <v>743</v>
      </c>
      <c r="Q129" s="5"/>
      <c r="R129" s="2"/>
    </row>
    <row r="130" spans="1:18" x14ac:dyDescent="0.3">
      <c r="A130" s="2">
        <f t="shared" si="1"/>
        <v>744</v>
      </c>
      <c r="Q130" s="5"/>
      <c r="R130" s="2"/>
    </row>
    <row r="131" spans="1:18" x14ac:dyDescent="0.3">
      <c r="A131" s="2">
        <f t="shared" si="1"/>
        <v>745</v>
      </c>
      <c r="Q131" s="5"/>
      <c r="R131" s="2"/>
    </row>
    <row r="132" spans="1:18" x14ac:dyDescent="0.3">
      <c r="A132" s="2">
        <f t="shared" si="1"/>
        <v>746</v>
      </c>
      <c r="Q132" s="5"/>
      <c r="R132" s="2"/>
    </row>
    <row r="133" spans="1:18" x14ac:dyDescent="0.3">
      <c r="A133" s="2">
        <f t="shared" si="1"/>
        <v>747</v>
      </c>
      <c r="Q133" s="5"/>
      <c r="R133" s="2"/>
    </row>
    <row r="134" spans="1:18" x14ac:dyDescent="0.3">
      <c r="A134" s="2">
        <f t="shared" si="1"/>
        <v>748</v>
      </c>
      <c r="Q134" s="5"/>
      <c r="R134" s="2"/>
    </row>
    <row r="135" spans="1:18" x14ac:dyDescent="0.3">
      <c r="A135" s="2">
        <f t="shared" si="1"/>
        <v>749</v>
      </c>
      <c r="Q135" s="5"/>
      <c r="R135" s="2"/>
    </row>
    <row r="136" spans="1:18" x14ac:dyDescent="0.3">
      <c r="A136" s="2">
        <f t="shared" si="1"/>
        <v>750</v>
      </c>
      <c r="Q136" s="5"/>
      <c r="R136" s="2"/>
    </row>
    <row r="137" spans="1:18" x14ac:dyDescent="0.3">
      <c r="A137" s="2">
        <f t="shared" si="1"/>
        <v>751</v>
      </c>
      <c r="Q137" s="5"/>
      <c r="R137" s="2"/>
    </row>
    <row r="138" spans="1:18" x14ac:dyDescent="0.3">
      <c r="A138" s="2">
        <f t="shared" si="1"/>
        <v>752</v>
      </c>
      <c r="Q138" s="5"/>
      <c r="R138" s="2"/>
    </row>
    <row r="139" spans="1:18" x14ac:dyDescent="0.3">
      <c r="A139" s="2">
        <f t="shared" si="1"/>
        <v>753</v>
      </c>
      <c r="Q139" s="5"/>
      <c r="R139" s="2"/>
    </row>
    <row r="140" spans="1:18" x14ac:dyDescent="0.3">
      <c r="A140" s="2">
        <f t="shared" si="1"/>
        <v>754</v>
      </c>
      <c r="Q140" s="5"/>
      <c r="R140" s="2"/>
    </row>
    <row r="141" spans="1:18" x14ac:dyDescent="0.3">
      <c r="A141" s="2">
        <f t="shared" si="1"/>
        <v>755</v>
      </c>
      <c r="Q141" s="5"/>
      <c r="R141" s="2"/>
    </row>
    <row r="142" spans="1:18" x14ac:dyDescent="0.3">
      <c r="A142" s="2">
        <f t="shared" si="1"/>
        <v>756</v>
      </c>
      <c r="Q142" s="5"/>
      <c r="R142" s="2"/>
    </row>
    <row r="143" spans="1:18" x14ac:dyDescent="0.3">
      <c r="A143" s="2">
        <f t="shared" si="1"/>
        <v>757</v>
      </c>
      <c r="Q143" s="5"/>
      <c r="R143" s="2"/>
    </row>
    <row r="144" spans="1:18" x14ac:dyDescent="0.3">
      <c r="A144" s="2">
        <f t="shared" si="1"/>
        <v>758</v>
      </c>
      <c r="Q144" s="5"/>
      <c r="R144" s="2"/>
    </row>
    <row r="145" spans="1:18" x14ac:dyDescent="0.3">
      <c r="A145" s="2">
        <f t="shared" si="1"/>
        <v>759</v>
      </c>
      <c r="Q145" s="5"/>
      <c r="R145" s="2"/>
    </row>
    <row r="146" spans="1:18" x14ac:dyDescent="0.3">
      <c r="A146" s="2">
        <f t="shared" si="1"/>
        <v>760</v>
      </c>
      <c r="Q146" s="5"/>
      <c r="R146" s="2"/>
    </row>
    <row r="147" spans="1:18" x14ac:dyDescent="0.3">
      <c r="A147" s="2">
        <f t="shared" si="1"/>
        <v>761</v>
      </c>
      <c r="Q147" s="5"/>
      <c r="R147" s="2"/>
    </row>
    <row r="148" spans="1:18" x14ac:dyDescent="0.3">
      <c r="A148" s="2">
        <f t="shared" si="1"/>
        <v>762</v>
      </c>
      <c r="Q148" s="5"/>
      <c r="R148" s="2"/>
    </row>
    <row r="149" spans="1:18" x14ac:dyDescent="0.3">
      <c r="A149" s="2">
        <f t="shared" si="1"/>
        <v>763</v>
      </c>
      <c r="Q149" s="5"/>
      <c r="R149" s="2"/>
    </row>
    <row r="150" spans="1:18" x14ac:dyDescent="0.3">
      <c r="A150" s="2">
        <f t="shared" si="1"/>
        <v>764</v>
      </c>
      <c r="Q150" s="5"/>
      <c r="R150" s="2"/>
    </row>
    <row r="151" spans="1:18" x14ac:dyDescent="0.3">
      <c r="A151" s="2">
        <f t="shared" si="1"/>
        <v>765</v>
      </c>
      <c r="Q151" s="5"/>
      <c r="R151" s="2"/>
    </row>
    <row r="152" spans="1:18" x14ac:dyDescent="0.3">
      <c r="A152" s="2">
        <f t="shared" ref="A152:A215" si="2">A151+1</f>
        <v>766</v>
      </c>
      <c r="Q152" s="5"/>
      <c r="R152" s="2"/>
    </row>
    <row r="153" spans="1:18" x14ac:dyDescent="0.3">
      <c r="A153" s="2">
        <f t="shared" si="2"/>
        <v>767</v>
      </c>
      <c r="Q153" s="5"/>
      <c r="R153" s="2"/>
    </row>
    <row r="154" spans="1:18" x14ac:dyDescent="0.3">
      <c r="A154" s="2">
        <f t="shared" si="2"/>
        <v>768</v>
      </c>
      <c r="Q154" s="5"/>
      <c r="R154" s="2"/>
    </row>
    <row r="155" spans="1:18" x14ac:dyDescent="0.3">
      <c r="A155" s="2">
        <f t="shared" si="2"/>
        <v>769</v>
      </c>
      <c r="Q155" s="5"/>
      <c r="R155" s="2"/>
    </row>
    <row r="156" spans="1:18" x14ac:dyDescent="0.3">
      <c r="A156" s="2">
        <f t="shared" si="2"/>
        <v>770</v>
      </c>
      <c r="Q156" s="5"/>
      <c r="R156" s="2"/>
    </row>
    <row r="157" spans="1:18" x14ac:dyDescent="0.3">
      <c r="A157" s="2">
        <f t="shared" si="2"/>
        <v>771</v>
      </c>
      <c r="Q157" s="5"/>
      <c r="R157" s="2"/>
    </row>
    <row r="158" spans="1:18" x14ac:dyDescent="0.3">
      <c r="A158" s="2">
        <f t="shared" si="2"/>
        <v>772</v>
      </c>
      <c r="Q158" s="5"/>
      <c r="R158" s="2"/>
    </row>
    <row r="159" spans="1:18" x14ac:dyDescent="0.3">
      <c r="A159" s="2">
        <f t="shared" si="2"/>
        <v>773</v>
      </c>
      <c r="Q159" s="5"/>
      <c r="R159" s="2"/>
    </row>
    <row r="160" spans="1:18" x14ac:dyDescent="0.3">
      <c r="A160" s="2">
        <f t="shared" si="2"/>
        <v>774</v>
      </c>
      <c r="Q160" s="5"/>
      <c r="R160" s="2"/>
    </row>
    <row r="161" spans="1:18" x14ac:dyDescent="0.3">
      <c r="A161" s="2">
        <f t="shared" si="2"/>
        <v>775</v>
      </c>
      <c r="Q161" s="5"/>
      <c r="R161" s="2"/>
    </row>
    <row r="162" spans="1:18" x14ac:dyDescent="0.3">
      <c r="A162" s="2">
        <f t="shared" si="2"/>
        <v>776</v>
      </c>
      <c r="Q162" s="5"/>
      <c r="R162" s="2"/>
    </row>
    <row r="163" spans="1:18" x14ac:dyDescent="0.3">
      <c r="A163" s="2">
        <f t="shared" si="2"/>
        <v>777</v>
      </c>
      <c r="Q163" s="5"/>
      <c r="R163" s="2"/>
    </row>
    <row r="164" spans="1:18" x14ac:dyDescent="0.3">
      <c r="A164" s="2">
        <f t="shared" si="2"/>
        <v>778</v>
      </c>
      <c r="Q164" s="5"/>
      <c r="R164" s="2"/>
    </row>
    <row r="165" spans="1:18" x14ac:dyDescent="0.3">
      <c r="A165" s="2">
        <f t="shared" si="2"/>
        <v>779</v>
      </c>
      <c r="Q165" s="5"/>
      <c r="R165" s="2"/>
    </row>
    <row r="166" spans="1:18" x14ac:dyDescent="0.3">
      <c r="A166" s="2">
        <f t="shared" si="2"/>
        <v>780</v>
      </c>
      <c r="Q166" s="5"/>
      <c r="R166" s="2"/>
    </row>
    <row r="167" spans="1:18" x14ac:dyDescent="0.3">
      <c r="A167" s="2">
        <f t="shared" si="2"/>
        <v>781</v>
      </c>
      <c r="Q167" s="5"/>
      <c r="R167" s="2"/>
    </row>
    <row r="168" spans="1:18" x14ac:dyDescent="0.3">
      <c r="A168" s="2">
        <f t="shared" si="2"/>
        <v>782</v>
      </c>
      <c r="Q168" s="5"/>
      <c r="R168" s="2"/>
    </row>
    <row r="169" spans="1:18" x14ac:dyDescent="0.3">
      <c r="A169" s="2">
        <f t="shared" si="2"/>
        <v>783</v>
      </c>
    </row>
    <row r="170" spans="1:18" x14ac:dyDescent="0.3">
      <c r="A170" s="2">
        <f t="shared" si="2"/>
        <v>784</v>
      </c>
    </row>
    <row r="171" spans="1:18" x14ac:dyDescent="0.3">
      <c r="A171" s="2">
        <f t="shared" si="2"/>
        <v>785</v>
      </c>
    </row>
    <row r="172" spans="1:18" x14ac:dyDescent="0.3">
      <c r="A172" s="2">
        <f t="shared" si="2"/>
        <v>786</v>
      </c>
    </row>
    <row r="173" spans="1:18" x14ac:dyDescent="0.3">
      <c r="A173" s="2">
        <f t="shared" si="2"/>
        <v>787</v>
      </c>
    </row>
    <row r="174" spans="1:18" x14ac:dyDescent="0.3">
      <c r="A174" s="2">
        <f t="shared" si="2"/>
        <v>788</v>
      </c>
    </row>
    <row r="175" spans="1:18" x14ac:dyDescent="0.3">
      <c r="A175" s="2">
        <f t="shared" si="2"/>
        <v>789</v>
      </c>
    </row>
    <row r="176" spans="1:18" x14ac:dyDescent="0.3">
      <c r="A176" s="2">
        <f t="shared" si="2"/>
        <v>790</v>
      </c>
    </row>
    <row r="177" spans="1:1" x14ac:dyDescent="0.3">
      <c r="A177" s="2">
        <f t="shared" si="2"/>
        <v>791</v>
      </c>
    </row>
    <row r="178" spans="1:1" x14ac:dyDescent="0.3">
      <c r="A178" s="2">
        <f t="shared" si="2"/>
        <v>792</v>
      </c>
    </row>
    <row r="179" spans="1:1" x14ac:dyDescent="0.3">
      <c r="A179" s="2">
        <f t="shared" si="2"/>
        <v>793</v>
      </c>
    </row>
    <row r="180" spans="1:1" x14ac:dyDescent="0.3">
      <c r="A180" s="2">
        <f t="shared" si="2"/>
        <v>794</v>
      </c>
    </row>
    <row r="181" spans="1:1" x14ac:dyDescent="0.3">
      <c r="A181" s="2">
        <f t="shared" si="2"/>
        <v>795</v>
      </c>
    </row>
    <row r="182" spans="1:1" x14ac:dyDescent="0.3">
      <c r="A182" s="2">
        <f t="shared" si="2"/>
        <v>796</v>
      </c>
    </row>
    <row r="183" spans="1:1" x14ac:dyDescent="0.3">
      <c r="A183" s="2">
        <f t="shared" si="2"/>
        <v>797</v>
      </c>
    </row>
    <row r="184" spans="1:1" x14ac:dyDescent="0.3">
      <c r="A184" s="2">
        <f t="shared" si="2"/>
        <v>798</v>
      </c>
    </row>
    <row r="185" spans="1:1" x14ac:dyDescent="0.3">
      <c r="A185" s="2">
        <f t="shared" si="2"/>
        <v>799</v>
      </c>
    </row>
    <row r="186" spans="1:1" x14ac:dyDescent="0.3">
      <c r="A186" s="2">
        <f t="shared" si="2"/>
        <v>800</v>
      </c>
    </row>
    <row r="187" spans="1:1" x14ac:dyDescent="0.3">
      <c r="A187" s="2">
        <f t="shared" si="2"/>
        <v>801</v>
      </c>
    </row>
    <row r="188" spans="1:1" x14ac:dyDescent="0.3">
      <c r="A188" s="2">
        <f t="shared" si="2"/>
        <v>802</v>
      </c>
    </row>
    <row r="189" spans="1:1" x14ac:dyDescent="0.3">
      <c r="A189" s="2">
        <f t="shared" si="2"/>
        <v>803</v>
      </c>
    </row>
    <row r="190" spans="1:1" x14ac:dyDescent="0.3">
      <c r="A190" s="2">
        <f t="shared" si="2"/>
        <v>804</v>
      </c>
    </row>
    <row r="191" spans="1:1" x14ac:dyDescent="0.3">
      <c r="A191" s="2">
        <f t="shared" si="2"/>
        <v>805</v>
      </c>
    </row>
    <row r="192" spans="1:1" x14ac:dyDescent="0.3">
      <c r="A192" s="2">
        <f t="shared" si="2"/>
        <v>806</v>
      </c>
    </row>
    <row r="193" spans="1:1" x14ac:dyDescent="0.3">
      <c r="A193" s="2">
        <f t="shared" si="2"/>
        <v>807</v>
      </c>
    </row>
    <row r="194" spans="1:1" x14ac:dyDescent="0.3">
      <c r="A194" s="2">
        <f t="shared" si="2"/>
        <v>808</v>
      </c>
    </row>
    <row r="195" spans="1:1" x14ac:dyDescent="0.3">
      <c r="A195" s="2">
        <f t="shared" si="2"/>
        <v>809</v>
      </c>
    </row>
    <row r="196" spans="1:1" x14ac:dyDescent="0.3">
      <c r="A196" s="2">
        <f t="shared" si="2"/>
        <v>810</v>
      </c>
    </row>
    <row r="197" spans="1:1" x14ac:dyDescent="0.3">
      <c r="A197" s="2">
        <f t="shared" si="2"/>
        <v>811</v>
      </c>
    </row>
    <row r="198" spans="1:1" x14ac:dyDescent="0.3">
      <c r="A198" s="2">
        <f t="shared" si="2"/>
        <v>812</v>
      </c>
    </row>
    <row r="199" spans="1:1" x14ac:dyDescent="0.3">
      <c r="A199" s="2">
        <f t="shared" si="2"/>
        <v>813</v>
      </c>
    </row>
    <row r="200" spans="1:1" x14ac:dyDescent="0.3">
      <c r="A200" s="2">
        <f t="shared" si="2"/>
        <v>814</v>
      </c>
    </row>
    <row r="201" spans="1:1" x14ac:dyDescent="0.3">
      <c r="A201" s="2">
        <f t="shared" si="2"/>
        <v>815</v>
      </c>
    </row>
    <row r="202" spans="1:1" x14ac:dyDescent="0.3">
      <c r="A202" s="2">
        <f t="shared" si="2"/>
        <v>816</v>
      </c>
    </row>
    <row r="203" spans="1:1" x14ac:dyDescent="0.3">
      <c r="A203" s="2">
        <f t="shared" si="2"/>
        <v>817</v>
      </c>
    </row>
    <row r="204" spans="1:1" x14ac:dyDescent="0.3">
      <c r="A204" s="2">
        <f t="shared" si="2"/>
        <v>818</v>
      </c>
    </row>
    <row r="205" spans="1:1" x14ac:dyDescent="0.3">
      <c r="A205" s="2">
        <f t="shared" si="2"/>
        <v>819</v>
      </c>
    </row>
    <row r="206" spans="1:1" x14ac:dyDescent="0.3">
      <c r="A206" s="2">
        <f t="shared" si="2"/>
        <v>820</v>
      </c>
    </row>
    <row r="207" spans="1:1" x14ac:dyDescent="0.3">
      <c r="A207" s="2">
        <f t="shared" si="2"/>
        <v>821</v>
      </c>
    </row>
    <row r="208" spans="1:1" x14ac:dyDescent="0.3">
      <c r="A208" s="2">
        <f t="shared" si="2"/>
        <v>822</v>
      </c>
    </row>
    <row r="209" spans="1:1" x14ac:dyDescent="0.3">
      <c r="A209" s="2">
        <f t="shared" si="2"/>
        <v>823</v>
      </c>
    </row>
    <row r="210" spans="1:1" x14ac:dyDescent="0.3">
      <c r="A210" s="2">
        <f t="shared" si="2"/>
        <v>824</v>
      </c>
    </row>
    <row r="211" spans="1:1" x14ac:dyDescent="0.3">
      <c r="A211" s="2">
        <f t="shared" si="2"/>
        <v>825</v>
      </c>
    </row>
    <row r="212" spans="1:1" x14ac:dyDescent="0.3">
      <c r="A212" s="2">
        <f t="shared" si="2"/>
        <v>826</v>
      </c>
    </row>
    <row r="213" spans="1:1" x14ac:dyDescent="0.3">
      <c r="A213" s="2">
        <f t="shared" si="2"/>
        <v>827</v>
      </c>
    </row>
    <row r="214" spans="1:1" x14ac:dyDescent="0.3">
      <c r="A214" s="2">
        <f t="shared" si="2"/>
        <v>828</v>
      </c>
    </row>
    <row r="215" spans="1:1" x14ac:dyDescent="0.3">
      <c r="A215" s="2">
        <f t="shared" si="2"/>
        <v>829</v>
      </c>
    </row>
    <row r="216" spans="1:1" x14ac:dyDescent="0.3">
      <c r="A216" s="2">
        <f t="shared" ref="A216:A279" si="3">A215+1</f>
        <v>830</v>
      </c>
    </row>
    <row r="217" spans="1:1" x14ac:dyDescent="0.3">
      <c r="A217" s="2">
        <f t="shared" si="3"/>
        <v>831</v>
      </c>
    </row>
    <row r="218" spans="1:1" x14ac:dyDescent="0.3">
      <c r="A218" s="2">
        <f t="shared" si="3"/>
        <v>832</v>
      </c>
    </row>
    <row r="219" spans="1:1" x14ac:dyDescent="0.3">
      <c r="A219" s="2">
        <f t="shared" si="3"/>
        <v>833</v>
      </c>
    </row>
    <row r="220" spans="1:1" x14ac:dyDescent="0.3">
      <c r="A220" s="2">
        <f t="shared" si="3"/>
        <v>834</v>
      </c>
    </row>
    <row r="221" spans="1:1" x14ac:dyDescent="0.3">
      <c r="A221" s="2">
        <f t="shared" si="3"/>
        <v>835</v>
      </c>
    </row>
    <row r="222" spans="1:1" x14ac:dyDescent="0.3">
      <c r="A222" s="2">
        <f t="shared" si="3"/>
        <v>836</v>
      </c>
    </row>
    <row r="223" spans="1:1" x14ac:dyDescent="0.3">
      <c r="A223" s="2">
        <f t="shared" si="3"/>
        <v>837</v>
      </c>
    </row>
    <row r="224" spans="1:1" x14ac:dyDescent="0.3">
      <c r="A224" s="2">
        <f t="shared" si="3"/>
        <v>838</v>
      </c>
    </row>
    <row r="225" spans="1:1" x14ac:dyDescent="0.3">
      <c r="A225" s="2">
        <f t="shared" si="3"/>
        <v>839</v>
      </c>
    </row>
    <row r="226" spans="1:1" x14ac:dyDescent="0.3">
      <c r="A226" s="2">
        <f t="shared" si="3"/>
        <v>840</v>
      </c>
    </row>
    <row r="227" spans="1:1" x14ac:dyDescent="0.3">
      <c r="A227" s="2">
        <f t="shared" si="3"/>
        <v>841</v>
      </c>
    </row>
    <row r="228" spans="1:1" x14ac:dyDescent="0.3">
      <c r="A228" s="2">
        <f t="shared" si="3"/>
        <v>842</v>
      </c>
    </row>
    <row r="229" spans="1:1" x14ac:dyDescent="0.3">
      <c r="A229" s="2">
        <f t="shared" si="3"/>
        <v>843</v>
      </c>
    </row>
    <row r="230" spans="1:1" x14ac:dyDescent="0.3">
      <c r="A230" s="2">
        <f t="shared" si="3"/>
        <v>844</v>
      </c>
    </row>
    <row r="231" spans="1:1" x14ac:dyDescent="0.3">
      <c r="A231" s="2">
        <f t="shared" si="3"/>
        <v>845</v>
      </c>
    </row>
    <row r="232" spans="1:1" x14ac:dyDescent="0.3">
      <c r="A232" s="2">
        <f t="shared" si="3"/>
        <v>846</v>
      </c>
    </row>
    <row r="233" spans="1:1" x14ac:dyDescent="0.3">
      <c r="A233" s="2">
        <f t="shared" si="3"/>
        <v>847</v>
      </c>
    </row>
    <row r="234" spans="1:1" x14ac:dyDescent="0.3">
      <c r="A234" s="2">
        <f t="shared" si="3"/>
        <v>848</v>
      </c>
    </row>
    <row r="235" spans="1:1" x14ac:dyDescent="0.3">
      <c r="A235" s="2">
        <f t="shared" si="3"/>
        <v>849</v>
      </c>
    </row>
    <row r="236" spans="1:1" x14ac:dyDescent="0.3">
      <c r="A236" s="2">
        <f t="shared" si="3"/>
        <v>850</v>
      </c>
    </row>
    <row r="237" spans="1:1" x14ac:dyDescent="0.3">
      <c r="A237" s="2">
        <f t="shared" si="3"/>
        <v>851</v>
      </c>
    </row>
    <row r="238" spans="1:1" x14ac:dyDescent="0.3">
      <c r="A238" s="2">
        <f t="shared" si="3"/>
        <v>852</v>
      </c>
    </row>
    <row r="239" spans="1:1" x14ac:dyDescent="0.3">
      <c r="A239" s="2">
        <f t="shared" si="3"/>
        <v>853</v>
      </c>
    </row>
    <row r="240" spans="1:1" x14ac:dyDescent="0.3">
      <c r="A240" s="2">
        <f t="shared" si="3"/>
        <v>854</v>
      </c>
    </row>
    <row r="241" spans="1:1" x14ac:dyDescent="0.3">
      <c r="A241" s="2">
        <f t="shared" si="3"/>
        <v>855</v>
      </c>
    </row>
    <row r="242" spans="1:1" x14ac:dyDescent="0.3">
      <c r="A242" s="2">
        <f t="shared" si="3"/>
        <v>856</v>
      </c>
    </row>
    <row r="243" spans="1:1" x14ac:dyDescent="0.3">
      <c r="A243" s="2">
        <f t="shared" si="3"/>
        <v>857</v>
      </c>
    </row>
    <row r="244" spans="1:1" x14ac:dyDescent="0.3">
      <c r="A244" s="2">
        <f t="shared" si="3"/>
        <v>858</v>
      </c>
    </row>
    <row r="245" spans="1:1" x14ac:dyDescent="0.3">
      <c r="A245" s="2">
        <f t="shared" si="3"/>
        <v>859</v>
      </c>
    </row>
    <row r="246" spans="1:1" x14ac:dyDescent="0.3">
      <c r="A246" s="2">
        <f t="shared" si="3"/>
        <v>860</v>
      </c>
    </row>
    <row r="247" spans="1:1" x14ac:dyDescent="0.3">
      <c r="A247" s="2">
        <f t="shared" si="3"/>
        <v>861</v>
      </c>
    </row>
    <row r="248" spans="1:1" x14ac:dyDescent="0.3">
      <c r="A248" s="2">
        <f t="shared" si="3"/>
        <v>862</v>
      </c>
    </row>
    <row r="249" spans="1:1" x14ac:dyDescent="0.3">
      <c r="A249" s="2">
        <f t="shared" si="3"/>
        <v>863</v>
      </c>
    </row>
    <row r="250" spans="1:1" x14ac:dyDescent="0.3">
      <c r="A250" s="2">
        <f t="shared" si="3"/>
        <v>864</v>
      </c>
    </row>
    <row r="251" spans="1:1" x14ac:dyDescent="0.3">
      <c r="A251" s="2">
        <f t="shared" si="3"/>
        <v>865</v>
      </c>
    </row>
    <row r="252" spans="1:1" x14ac:dyDescent="0.3">
      <c r="A252" s="2">
        <f t="shared" si="3"/>
        <v>866</v>
      </c>
    </row>
    <row r="253" spans="1:1" x14ac:dyDescent="0.3">
      <c r="A253" s="2">
        <f t="shared" si="3"/>
        <v>867</v>
      </c>
    </row>
    <row r="254" spans="1:1" x14ac:dyDescent="0.3">
      <c r="A254" s="2">
        <f t="shared" si="3"/>
        <v>868</v>
      </c>
    </row>
    <row r="255" spans="1:1" x14ac:dyDescent="0.3">
      <c r="A255" s="2">
        <f t="shared" si="3"/>
        <v>869</v>
      </c>
    </row>
    <row r="256" spans="1:1" x14ac:dyDescent="0.3">
      <c r="A256" s="2">
        <f t="shared" si="3"/>
        <v>870</v>
      </c>
    </row>
    <row r="257" spans="1:1" x14ac:dyDescent="0.3">
      <c r="A257" s="2">
        <f t="shared" si="3"/>
        <v>871</v>
      </c>
    </row>
    <row r="258" spans="1:1" x14ac:dyDescent="0.3">
      <c r="A258" s="2">
        <f t="shared" si="3"/>
        <v>872</v>
      </c>
    </row>
    <row r="259" spans="1:1" x14ac:dyDescent="0.3">
      <c r="A259" s="2">
        <f t="shared" si="3"/>
        <v>873</v>
      </c>
    </row>
    <row r="260" spans="1:1" x14ac:dyDescent="0.3">
      <c r="A260" s="2">
        <f t="shared" si="3"/>
        <v>874</v>
      </c>
    </row>
    <row r="261" spans="1:1" x14ac:dyDescent="0.3">
      <c r="A261" s="2">
        <f t="shared" si="3"/>
        <v>875</v>
      </c>
    </row>
    <row r="262" spans="1:1" x14ac:dyDescent="0.3">
      <c r="A262" s="2">
        <f t="shared" si="3"/>
        <v>876</v>
      </c>
    </row>
    <row r="263" spans="1:1" x14ac:dyDescent="0.3">
      <c r="A263" s="2">
        <f t="shared" si="3"/>
        <v>877</v>
      </c>
    </row>
    <row r="264" spans="1:1" x14ac:dyDescent="0.3">
      <c r="A264" s="2">
        <f t="shared" si="3"/>
        <v>878</v>
      </c>
    </row>
    <row r="265" spans="1:1" x14ac:dyDescent="0.3">
      <c r="A265" s="2">
        <f t="shared" si="3"/>
        <v>879</v>
      </c>
    </row>
    <row r="266" spans="1:1" x14ac:dyDescent="0.3">
      <c r="A266" s="2">
        <f t="shared" si="3"/>
        <v>880</v>
      </c>
    </row>
    <row r="267" spans="1:1" x14ac:dyDescent="0.3">
      <c r="A267" s="2">
        <f t="shared" si="3"/>
        <v>881</v>
      </c>
    </row>
    <row r="268" spans="1:1" x14ac:dyDescent="0.3">
      <c r="A268" s="2">
        <f t="shared" si="3"/>
        <v>882</v>
      </c>
    </row>
    <row r="269" spans="1:1" x14ac:dyDescent="0.3">
      <c r="A269" s="2">
        <f t="shared" si="3"/>
        <v>883</v>
      </c>
    </row>
    <row r="270" spans="1:1" x14ac:dyDescent="0.3">
      <c r="A270" s="2">
        <f t="shared" si="3"/>
        <v>884</v>
      </c>
    </row>
    <row r="271" spans="1:1" x14ac:dyDescent="0.3">
      <c r="A271" s="2">
        <f t="shared" si="3"/>
        <v>885</v>
      </c>
    </row>
    <row r="272" spans="1:1" x14ac:dyDescent="0.3">
      <c r="A272" s="2">
        <f t="shared" si="3"/>
        <v>886</v>
      </c>
    </row>
    <row r="273" spans="1:1" x14ac:dyDescent="0.3">
      <c r="A273" s="2">
        <f t="shared" si="3"/>
        <v>887</v>
      </c>
    </row>
    <row r="274" spans="1:1" x14ac:dyDescent="0.3">
      <c r="A274" s="2">
        <f t="shared" si="3"/>
        <v>888</v>
      </c>
    </row>
    <row r="275" spans="1:1" x14ac:dyDescent="0.3">
      <c r="A275" s="2">
        <f t="shared" si="3"/>
        <v>889</v>
      </c>
    </row>
    <row r="276" spans="1:1" x14ac:dyDescent="0.3">
      <c r="A276" s="2">
        <f t="shared" si="3"/>
        <v>890</v>
      </c>
    </row>
    <row r="277" spans="1:1" x14ac:dyDescent="0.3">
      <c r="A277" s="2">
        <f t="shared" si="3"/>
        <v>891</v>
      </c>
    </row>
    <row r="278" spans="1:1" x14ac:dyDescent="0.3">
      <c r="A278" s="2">
        <f t="shared" si="3"/>
        <v>892</v>
      </c>
    </row>
    <row r="279" spans="1:1" x14ac:dyDescent="0.3">
      <c r="A279" s="2">
        <f t="shared" si="3"/>
        <v>893</v>
      </c>
    </row>
    <row r="280" spans="1:1" x14ac:dyDescent="0.3">
      <c r="A280" s="2">
        <f t="shared" ref="A280:A321" si="4">A279+1</f>
        <v>894</v>
      </c>
    </row>
    <row r="281" spans="1:1" x14ac:dyDescent="0.3">
      <c r="A281" s="2">
        <f t="shared" si="4"/>
        <v>895</v>
      </c>
    </row>
    <row r="282" spans="1:1" x14ac:dyDescent="0.3">
      <c r="A282" s="2">
        <f t="shared" si="4"/>
        <v>896</v>
      </c>
    </row>
    <row r="283" spans="1:1" x14ac:dyDescent="0.3">
      <c r="A283" s="2">
        <f t="shared" si="4"/>
        <v>897</v>
      </c>
    </row>
    <row r="284" spans="1:1" x14ac:dyDescent="0.3">
      <c r="A284" s="2">
        <f t="shared" si="4"/>
        <v>898</v>
      </c>
    </row>
    <row r="285" spans="1:1" x14ac:dyDescent="0.3">
      <c r="A285" s="2">
        <f t="shared" si="4"/>
        <v>899</v>
      </c>
    </row>
    <row r="286" spans="1:1" x14ac:dyDescent="0.3">
      <c r="A286" s="2">
        <f t="shared" si="4"/>
        <v>900</v>
      </c>
    </row>
    <row r="287" spans="1:1" x14ac:dyDescent="0.3">
      <c r="A287" s="2">
        <f t="shared" si="4"/>
        <v>901</v>
      </c>
    </row>
    <row r="288" spans="1:1" x14ac:dyDescent="0.3">
      <c r="A288" s="2">
        <f t="shared" si="4"/>
        <v>902</v>
      </c>
    </row>
    <row r="289" spans="1:1" x14ac:dyDescent="0.3">
      <c r="A289" s="2">
        <f t="shared" si="4"/>
        <v>903</v>
      </c>
    </row>
    <row r="290" spans="1:1" x14ac:dyDescent="0.3">
      <c r="A290" s="2">
        <f t="shared" si="4"/>
        <v>904</v>
      </c>
    </row>
    <row r="291" spans="1:1" x14ac:dyDescent="0.3">
      <c r="A291" s="2">
        <f t="shared" si="4"/>
        <v>905</v>
      </c>
    </row>
    <row r="292" spans="1:1" x14ac:dyDescent="0.3">
      <c r="A292" s="2">
        <f t="shared" si="4"/>
        <v>906</v>
      </c>
    </row>
    <row r="293" spans="1:1" x14ac:dyDescent="0.3">
      <c r="A293" s="2">
        <f t="shared" si="4"/>
        <v>907</v>
      </c>
    </row>
    <row r="294" spans="1:1" x14ac:dyDescent="0.3">
      <c r="A294" s="2">
        <f t="shared" si="4"/>
        <v>908</v>
      </c>
    </row>
    <row r="295" spans="1:1" x14ac:dyDescent="0.3">
      <c r="A295" s="2">
        <f t="shared" si="4"/>
        <v>909</v>
      </c>
    </row>
    <row r="296" spans="1:1" x14ac:dyDescent="0.3">
      <c r="A296" s="2">
        <f t="shared" si="4"/>
        <v>910</v>
      </c>
    </row>
    <row r="297" spans="1:1" x14ac:dyDescent="0.3">
      <c r="A297" s="2">
        <f t="shared" si="4"/>
        <v>911</v>
      </c>
    </row>
    <row r="298" spans="1:1" x14ac:dyDescent="0.3">
      <c r="A298" s="2">
        <f t="shared" si="4"/>
        <v>912</v>
      </c>
    </row>
    <row r="299" spans="1:1" x14ac:dyDescent="0.3">
      <c r="A299" s="2">
        <f t="shared" si="4"/>
        <v>913</v>
      </c>
    </row>
    <row r="300" spans="1:1" x14ac:dyDescent="0.3">
      <c r="A300" s="2">
        <f t="shared" si="4"/>
        <v>914</v>
      </c>
    </row>
    <row r="301" spans="1:1" x14ac:dyDescent="0.3">
      <c r="A301" s="2">
        <f t="shared" si="4"/>
        <v>915</v>
      </c>
    </row>
    <row r="302" spans="1:1" x14ac:dyDescent="0.3">
      <c r="A302" s="2">
        <f t="shared" si="4"/>
        <v>916</v>
      </c>
    </row>
    <row r="303" spans="1:1" x14ac:dyDescent="0.3">
      <c r="A303" s="2">
        <f t="shared" si="4"/>
        <v>917</v>
      </c>
    </row>
    <row r="304" spans="1:1" x14ac:dyDescent="0.3">
      <c r="A304" s="2">
        <f t="shared" si="4"/>
        <v>918</v>
      </c>
    </row>
    <row r="305" spans="1:1" x14ac:dyDescent="0.3">
      <c r="A305" s="2">
        <f t="shared" si="4"/>
        <v>919</v>
      </c>
    </row>
    <row r="306" spans="1:1" x14ac:dyDescent="0.3">
      <c r="A306" s="2">
        <f t="shared" si="4"/>
        <v>920</v>
      </c>
    </row>
    <row r="307" spans="1:1" x14ac:dyDescent="0.3">
      <c r="A307" s="2">
        <f t="shared" si="4"/>
        <v>921</v>
      </c>
    </row>
    <row r="308" spans="1:1" x14ac:dyDescent="0.3">
      <c r="A308" s="2">
        <f t="shared" si="4"/>
        <v>922</v>
      </c>
    </row>
    <row r="309" spans="1:1" x14ac:dyDescent="0.3">
      <c r="A309" s="2">
        <f t="shared" si="4"/>
        <v>923</v>
      </c>
    </row>
    <row r="310" spans="1:1" x14ac:dyDescent="0.3">
      <c r="A310" s="2">
        <f t="shared" si="4"/>
        <v>924</v>
      </c>
    </row>
    <row r="311" spans="1:1" x14ac:dyDescent="0.3">
      <c r="A311" s="2">
        <f t="shared" si="4"/>
        <v>925</v>
      </c>
    </row>
    <row r="312" spans="1:1" x14ac:dyDescent="0.3">
      <c r="A312" s="2">
        <f t="shared" si="4"/>
        <v>926</v>
      </c>
    </row>
    <row r="313" spans="1:1" x14ac:dyDescent="0.3">
      <c r="A313" s="2">
        <f t="shared" si="4"/>
        <v>927</v>
      </c>
    </row>
    <row r="314" spans="1:1" x14ac:dyDescent="0.3">
      <c r="A314" s="2">
        <f t="shared" si="4"/>
        <v>928</v>
      </c>
    </row>
    <row r="315" spans="1:1" x14ac:dyDescent="0.3">
      <c r="A315" s="2">
        <f t="shared" si="4"/>
        <v>929</v>
      </c>
    </row>
    <row r="316" spans="1:1" x14ac:dyDescent="0.3">
      <c r="A316" s="2">
        <f t="shared" si="4"/>
        <v>930</v>
      </c>
    </row>
    <row r="317" spans="1:1" x14ac:dyDescent="0.3">
      <c r="A317" s="2">
        <f t="shared" si="4"/>
        <v>931</v>
      </c>
    </row>
    <row r="318" spans="1:1" x14ac:dyDescent="0.3">
      <c r="A318" s="2">
        <f t="shared" si="4"/>
        <v>932</v>
      </c>
    </row>
    <row r="319" spans="1:1" x14ac:dyDescent="0.3">
      <c r="A319" s="2">
        <f t="shared" si="4"/>
        <v>933</v>
      </c>
    </row>
    <row r="320" spans="1:1" x14ac:dyDescent="0.3">
      <c r="A320" s="2">
        <f t="shared" si="4"/>
        <v>934</v>
      </c>
    </row>
    <row r="321" spans="1:1" x14ac:dyDescent="0.3">
      <c r="A321" s="2">
        <f t="shared" si="4"/>
        <v>935</v>
      </c>
    </row>
  </sheetData>
  <phoneticPr fontId="1"/>
  <hyperlinks>
    <hyperlink ref="Q5" r:id="rId1" display="_x000a_http://www.theonehundred.com/request.htm"/>
    <hyperlink ref="Q6" r:id="rId2"/>
    <hyperlink ref="Q7" r:id="rId3" display="_x000a_http://www.sweetheartbb.com/toronto/contact/index.html"/>
    <hyperlink ref="Q8" r:id="rId4"/>
    <hyperlink ref="Q9" r:id="rId5"/>
    <hyperlink ref="Q10" r:id="rId6"/>
    <hyperlink ref="Q12" r:id="rId7"/>
    <hyperlink ref="Q13" r:id="rId8" location="form"/>
    <hyperlink ref="Q14" r:id="rId9"/>
    <hyperlink ref="Q20" r:id="rId10"/>
    <hyperlink ref="Q22" r:id="rId11" display="_x000a_http://www.harekapone.cl/sfm_form_2.html"/>
    <hyperlink ref="T26" r:id="rId12"/>
    <hyperlink ref="T27:T35" r:id="rId13" display="http://www.londonapplehouse.com/index.html"/>
    <hyperlink ref="T37" r:id="rId14"/>
    <hyperlink ref="Q40" r:id="rId15"/>
    <hyperlink ref="T40" r:id="rId16"/>
    <hyperlink ref="Q42" r:id="rId17"/>
    <hyperlink ref="T42" r:id="rId18" display="_x000a_https://www.hotellalunablanca.com/localizacion-hotel-torremolinos/"/>
    <hyperlink ref="Q43" r:id="rId19"/>
    <hyperlink ref="T43" r:id="rId20"/>
    <hyperlink ref="T44" r:id="rId21"/>
    <hyperlink ref="Q45" r:id="rId22"/>
    <hyperlink ref="T45" r:id="rId23"/>
    <hyperlink ref="Q46" r:id="rId24"/>
    <hyperlink ref="T46" r:id="rId25"/>
    <hyperlink ref="Q47" r:id="rId26"/>
    <hyperlink ref="T47" r:id="rId27"/>
    <hyperlink ref="Q48" r:id="rId28"/>
    <hyperlink ref="Q50" r:id="rId29"/>
    <hyperlink ref="T50" r:id="rId30"/>
    <hyperlink ref="Q51" r:id="rId31"/>
    <hyperlink ref="T51" r:id="rId32"/>
    <hyperlink ref="Q52" r:id="rId33"/>
    <hyperlink ref="T52" r:id="rId34"/>
    <hyperlink ref="Q53" r:id="rId35"/>
    <hyperlink ref="T53" r:id="rId36"/>
    <hyperlink ref="Q54" r:id="rId37"/>
    <hyperlink ref="T54" r:id="rId38"/>
    <hyperlink ref="Q24" r:id="rId39"/>
    <hyperlink ref="T24" r:id="rId40"/>
    <hyperlink ref="Q25" r:id="rId41"/>
    <hyperlink ref="T25" r:id="rId42"/>
  </hyperlinks>
  <pageMargins left="0.70000000000000007" right="0.70000000000000007" top="0.75000000000000011" bottom="0.75000000000000011" header="0.30000000000000004" footer="0.30000000000000004"/>
  <pageSetup paperSize="9" orientation="portrait" horizontalDpi="0" verticalDpi="0"/>
  <colBreaks count="1" manualBreakCount="1">
    <brk id="16"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3"/>
  <sheetViews>
    <sheetView zoomScale="75" workbookViewId="0">
      <selection activeCell="C25" sqref="C25"/>
    </sheetView>
  </sheetViews>
  <sheetFormatPr baseColWidth="12" defaultRowHeight="27" x14ac:dyDescent="0.4"/>
  <cols>
    <col min="1" max="1" width="38.33203125" style="36" customWidth="1"/>
    <col min="2" max="2" width="13.1640625" style="37" bestFit="1" customWidth="1"/>
    <col min="3" max="3" width="15" style="37" bestFit="1" customWidth="1"/>
    <col min="4" max="4" width="13.83203125" style="37" bestFit="1" customWidth="1"/>
    <col min="5" max="16384" width="14.83203125" style="36"/>
  </cols>
  <sheetData>
    <row r="1" spans="1:4" s="38" customFormat="1" x14ac:dyDescent="0.4">
      <c r="A1" s="38" t="s">
        <v>492</v>
      </c>
      <c r="B1" s="39" t="s">
        <v>493</v>
      </c>
      <c r="C1" s="39" t="s">
        <v>495</v>
      </c>
      <c r="D1" s="39" t="s">
        <v>494</v>
      </c>
    </row>
    <row r="2" spans="1:4" x14ac:dyDescent="0.4">
      <c r="A2" s="36" t="s">
        <v>486</v>
      </c>
      <c r="B2" s="37">
        <v>248</v>
      </c>
      <c r="C2" s="37">
        <v>49</v>
      </c>
      <c r="D2" s="37">
        <v>98</v>
      </c>
    </row>
    <row r="3" spans="1:4" x14ac:dyDescent="0.4">
      <c r="A3" s="36" t="s">
        <v>487</v>
      </c>
      <c r="B3" s="37">
        <v>246</v>
      </c>
      <c r="C3" s="37">
        <v>49</v>
      </c>
      <c r="D3" s="37">
        <v>241</v>
      </c>
    </row>
    <row r="4" spans="1:4" x14ac:dyDescent="0.4">
      <c r="A4" s="36" t="s">
        <v>489</v>
      </c>
      <c r="B4" s="37">
        <v>42</v>
      </c>
      <c r="C4" s="37">
        <v>37</v>
      </c>
      <c r="D4" s="37">
        <v>255</v>
      </c>
    </row>
    <row r="5" spans="1:4" x14ac:dyDescent="0.4">
      <c r="A5" s="36" t="s">
        <v>490</v>
      </c>
      <c r="B5" s="37">
        <v>39</v>
      </c>
      <c r="C5" s="37">
        <v>162</v>
      </c>
      <c r="D5" s="37">
        <v>255</v>
      </c>
    </row>
    <row r="6" spans="1:4" x14ac:dyDescent="0.4">
      <c r="A6" s="36" t="s">
        <v>321</v>
      </c>
      <c r="B6" s="37">
        <v>255</v>
      </c>
      <c r="C6" s="37">
        <v>193</v>
      </c>
      <c r="D6" s="37">
        <v>37</v>
      </c>
    </row>
    <row r="7" spans="1:4" x14ac:dyDescent="0.4">
      <c r="A7" s="36" t="s">
        <v>488</v>
      </c>
      <c r="B7" s="37">
        <v>16</v>
      </c>
      <c r="C7" s="37">
        <v>107</v>
      </c>
      <c r="D7" s="37">
        <v>20</v>
      </c>
    </row>
    <row r="8" spans="1:4" x14ac:dyDescent="0.4">
      <c r="A8" s="36" t="s">
        <v>491</v>
      </c>
      <c r="B8" s="37">
        <v>28</v>
      </c>
      <c r="C8" s="37">
        <v>190</v>
      </c>
      <c r="D8" s="37">
        <v>34</v>
      </c>
    </row>
    <row r="10" spans="1:4" s="38" customFormat="1" x14ac:dyDescent="0.4">
      <c r="A10" s="38" t="s">
        <v>504</v>
      </c>
      <c r="B10" s="38" t="s">
        <v>500</v>
      </c>
      <c r="C10" s="39"/>
      <c r="D10" s="39"/>
    </row>
    <row r="11" spans="1:4" x14ac:dyDescent="0.4">
      <c r="A11" s="36" t="s">
        <v>501</v>
      </c>
      <c r="B11" s="40">
        <v>1</v>
      </c>
    </row>
    <row r="12" spans="1:4" x14ac:dyDescent="0.4">
      <c r="A12" s="36" t="s">
        <v>502</v>
      </c>
      <c r="B12" s="40">
        <v>0.75</v>
      </c>
    </row>
    <row r="13" spans="1:4" x14ac:dyDescent="0.4">
      <c r="A13" s="36" t="s">
        <v>503</v>
      </c>
      <c r="B13" s="40">
        <v>0.5</v>
      </c>
    </row>
  </sheetData>
  <phoneticPr fontId="1"/>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一覧リスト</vt:lpstr>
      <vt:lpstr>マニュアル</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ユーザー</dc:creator>
  <cp:lastModifiedBy>Microsoft Office ユーザー</cp:lastModifiedBy>
  <dcterms:created xsi:type="dcterms:W3CDTF">2017-10-29T09:40:21Z</dcterms:created>
  <dcterms:modified xsi:type="dcterms:W3CDTF">2017-11-21T04:37:46Z</dcterms:modified>
</cp:coreProperties>
</file>